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⭐ Executive Summary" sheetId="1" state="visible" r:id="rId3"/>
    <sheet name="📈 Price Elasticity" sheetId="2" state="visible" r:id="rId4"/>
    <sheet name="🔬 Sensitivity Analysis" sheetId="3" state="visible" r:id="rId5"/>
    <sheet name="🎯 Scenario Comparison" sheetId="4" state="visible" r:id="rId6"/>
    <sheet name="📊 Market &amp; Competitors" sheetId="5" state="visible" r:id="rId7"/>
    <sheet name="📅 Demand Forecast" sheetId="6" state="visible" r:id="rId8"/>
    <sheet name="💰 Profit Simulation" sheetId="7" state="visible" r:id="rId9"/>
    <sheet name="📋 Drug_Data" sheetId="8" state="visible" r:id="rId10"/>
  </sheets>
  <definedNames>
    <definedName function="false" hidden="true" localSheetId="7" name="_xlnm._FilterDatabase" vbProcedure="false">'📋 Drug_Data'!$A$1:$L$433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<sst xmlns="http://schemas.openxmlformats.org/spreadsheetml/2006/main" count="3021" uniqueCount="417">
  <si>
    <t xml:space="preserve">DRUG LAUNCH STRATEGY — INDIA PHARMA MARKET</t>
  </si>
  <si>
    <t xml:space="preserve">NewDrug | Anti-Diabetic | India 2026  ·  Prepared by: Strategy &amp; Analytics</t>
  </si>
  <si>
    <t xml:space="preserve">❓  BUSINESS QUESTION</t>
  </si>
  <si>
    <t xml:space="preserve">"What should be the optimal launch price, target segment, and go-to-market strategy for NewDrug (anti-diabetic) in India to maximise Year-1 profitability and long-run market share?"</t>
  </si>
  <si>
    <t xml:space="preserve">FINAL PRICE</t>
  </si>
  <si>
    <t xml:space="preserve">TARGET SEGMENT</t>
  </si>
  <si>
    <t xml:space="preserve">STRATEGY</t>
  </si>
  <si>
    <t xml:space="preserve">₹15 / unit</t>
  </si>
  <si>
    <t xml:space="preserve">Tier 2 Cities</t>
  </si>
  <si>
    <t xml:space="preserve">Competitive</t>
  </si>
  <si>
    <t xml:space="preserve">Mid-segment sweet spot</t>
  </si>
  <si>
    <t xml:space="preserve">Highest unmet demand &amp; growth</t>
  </si>
  <si>
    <t xml:space="preserve">Best risk-adjusted profit</t>
  </si>
  <si>
    <t xml:space="preserve">YEAR-1 REVENUE</t>
  </si>
  <si>
    <t xml:space="preserve">YEAR-1 NET PROFIT</t>
  </si>
  <si>
    <t xml:space="preserve">NET MARGIN</t>
  </si>
  <si>
    <t xml:space="preserve">₹39 Cr</t>
  </si>
  <si>
    <t xml:space="preserve">₹7.8 Cr</t>
  </si>
  <si>
    <t xml:space="preserve">20%</t>
  </si>
  <si>
    <t xml:space="preserve">Mid-scenario projection</t>
  </si>
  <si>
    <t xml:space="preserve">After COGS, marketing &amp; fixed</t>
  </si>
  <si>
    <t xml:space="preserve">Mid pricing, Month 12 run-rate</t>
  </si>
  <si>
    <t xml:space="preserve">📄  EXECUTIVE SUMMARY</t>
  </si>
  <si>
    <t xml:space="preserve">Context &amp; Opportunity:</t>
  </si>
  <si>
    <t xml:space="preserve">India has 80M+ diabetic patients — the world's 2nd-largest diabetes market — growing at 8% CAGR. Despite 15+ branded generics in the low-price segment, the mid-price band (₹12–₹20/unit) is under-served with only 2 active players. This structural gap is the strategic entry point for NewDrug.</t>
  </si>
  <si>
    <t xml:space="preserve">What the Analysis Shows:</t>
  </si>
  <si>
    <t xml:space="preserve">Competitor benchmarking across Sun Pharma, Cipla, and Dr Reddy's confirms that generic molecules crowd the sub-₹12 band while MNCs anchor ₹80+ premium. A mid-price launch at ₹15/unit captures 8M addressable patients with materially better margins than low-price penetration, and lower execution risk than a premium play that requires specialist-only channels.</t>
  </si>
  <si>
    <t xml:space="preserve">Decision Logic:</t>
  </si>
  <si>
    <t xml:space="preserve">Price elasticity modelling (demand = base − elasticity × price) shows the ₹15 price point sits at the profit-maximising inflection: a ₹5 drop to ₹10 adds 28% demand but cuts net profit by 34%. A ₹10 premium rise to ₹25 raises per-unit margin but reduces volume 38%, net profit falling 19% vs the mid scenario. The competitive strategy wins on both absolute profit and risk profile.</t>
  </si>
  <si>
    <t xml:space="preserve">Recommended Action:</t>
  </si>
  <si>
    <t xml:space="preserve">Launch at ₹15/unit, targeting Tier 2 cities (Pune, Jaipur, Lucknow) via retail pharmacy and polyclinic GP channels. Tier 1 cities follow in Month 4+ at ₹17 (premium sub-variant); Tier 3 via Jan Aushadhi at ₹9 from Month 13. Year-1 revenue target: ₹39 Cr, scaling to ₹78 Cr by Year 2 as distribution deepens and brand loyalty builds.</t>
  </si>
  <si>
    <t xml:space="preserve">🏆  FINAL DECISION</t>
  </si>
  <si>
    <t xml:space="preserve">✅  Recommended Price</t>
  </si>
  <si>
    <t xml:space="preserve">₹15 per unit (mid-segment)</t>
  </si>
  <si>
    <t xml:space="preserve">✅  Target Market</t>
  </si>
  <si>
    <t xml:space="preserve">Tier 2 cities — 40% of launch volume</t>
  </si>
  <si>
    <t xml:space="preserve">✅  Strategy</t>
  </si>
  <si>
    <t xml:space="preserve">Competitive Pricing — balanced demand &amp; margin</t>
  </si>
  <si>
    <t xml:space="preserve">✅  Year-1 Revenue</t>
  </si>
  <si>
    <t xml:space="preserve">₹39 Crore (2.6M units @ ₹15)</t>
  </si>
  <si>
    <t xml:space="preserve">✅  Year-1 Net Profit</t>
  </si>
  <si>
    <t xml:space="preserve">₹7.8 Crore (20% net margin)</t>
  </si>
  <si>
    <t xml:space="preserve">⚠️  Primary Risk</t>
  </si>
  <si>
    <t xml:space="preserve">Generic crowding in low segment → defend via brand &amp; GP relationships</t>
  </si>
  <si>
    <t xml:space="preserve">PRICE ELASTICITY MODEL — NewDrug Anti-Diabetic</t>
  </si>
  <si>
    <t xml:space="preserve">Demand = Base Market × (1 − Elasticity × Price_Index)  |  Blue cells = user inputs</t>
  </si>
  <si>
    <t xml:space="preserve">MODEL INPUTS  (change these — all charts update)</t>
  </si>
  <si>
    <t xml:space="preserve">Base Addressable Market (units/yr)</t>
  </si>
  <si>
    <t xml:space="preserve">Price Elasticity Coefficient (ε)</t>
  </si>
  <si>
    <t xml:space="preserve">Cost per Unit (₹)</t>
  </si>
  <si>
    <t xml:space="preserve">Fixed Costs / Year (₹)</t>
  </si>
  <si>
    <t xml:space="preserve">Marketing % of Revenue</t>
  </si>
  <si>
    <t xml:space="preserve">Reference Price for Index (₹)</t>
  </si>
  <si>
    <t xml:space="preserve">PRICE → DEMAND → PROFIT CURVE</t>
  </si>
  <si>
    <t xml:space="preserve">Price
(₹/unit)</t>
  </si>
  <si>
    <t xml:space="preserve">Price
Index</t>
  </si>
  <si>
    <t xml:space="preserve">Demand
(units)</t>
  </si>
  <si>
    <t xml:space="preserve">Revenue
(₹)</t>
  </si>
  <si>
    <t xml:space="preserve">COGS
(₹)</t>
  </si>
  <si>
    <t xml:space="preserve">Gross
Profit</t>
  </si>
  <si>
    <t xml:space="preserve">Mktg
Cost</t>
  </si>
  <si>
    <t xml:space="preserve">Net
Profit</t>
  </si>
  <si>
    <t xml:space="preserve">Net
Margin</t>
  </si>
  <si>
    <t xml:space="preserve">vs ₹15
Profit Δ</t>
  </si>
  <si>
    <t xml:space="preserve">SENSITIVITY ANALYSIS — What Happens When Price Changes?</t>
  </si>
  <si>
    <t xml:space="preserve">Shows exact impact on Demand, Revenue and Profit for each ±% price change from ₹15 base</t>
  </si>
  <si>
    <t xml:space="preserve">PART A — Price Change Impact Table (Base Price = ₹15)</t>
  </si>
  <si>
    <t xml:space="preserve">Price
Change</t>
  </si>
  <si>
    <t xml:space="preserve">New Price
(₹)</t>
  </si>
  <si>
    <t xml:space="preserve">Demand
Change</t>
  </si>
  <si>
    <t xml:space="preserve">New Demand
(units)</t>
  </si>
  <si>
    <t xml:space="preserve">Revenue
(₹ Cr)</t>
  </si>
  <si>
    <t xml:space="preserve">COGS
(₹ Cr)</t>
  </si>
  <si>
    <t xml:space="preserve">Net Profit
(₹ Cr)</t>
  </si>
  <si>
    <t xml:space="preserve">Net Margin</t>
  </si>
  <si>
    <t xml:space="preserve">Profit Δ vs Base</t>
  </si>
  <si>
    <t xml:space="preserve">Decision Signal</t>
  </si>
  <si>
    <t xml:space="preserve">-30%</t>
  </si>
  <si>
    <t xml:space="preserve">₹10.5</t>
  </si>
  <si>
    <t xml:space="preserve">+11.2%</t>
  </si>
  <si>
    <t xml:space="preserve">8,900,000</t>
  </si>
  <si>
    <t xml:space="preserve">₹9.3 Cr</t>
  </si>
  <si>
    <t xml:space="preserve">₹12.5 Cr</t>
  </si>
  <si>
    <t xml:space="preserve">₹-4.5 Cr</t>
  </si>
  <si>
    <t xml:space="preserve">-47.8%</t>
  </si>
  <si>
    <t xml:space="preserve">-487.2%</t>
  </si>
  <si>
    <t xml:space="preserve">❌ Low margin</t>
  </si>
  <si>
    <t xml:space="preserve">-25%</t>
  </si>
  <si>
    <t xml:space="preserve">₹11.2</t>
  </si>
  <si>
    <t xml:space="preserve">+9.4%</t>
  </si>
  <si>
    <t xml:space="preserve">8,750,000</t>
  </si>
  <si>
    <t xml:space="preserve">₹9.8 Cr</t>
  </si>
  <si>
    <t xml:space="preserve">₹12.2 Cr</t>
  </si>
  <si>
    <t xml:space="preserve">₹-3.8 Cr</t>
  </si>
  <si>
    <t xml:space="preserve">-38.5%</t>
  </si>
  <si>
    <t xml:space="preserve">-399.2%</t>
  </si>
  <si>
    <t xml:space="preserve">-20%</t>
  </si>
  <si>
    <t xml:space="preserve">₹12.0</t>
  </si>
  <si>
    <t xml:space="preserve">+7.5%</t>
  </si>
  <si>
    <t xml:space="preserve">8,600,000</t>
  </si>
  <si>
    <t xml:space="preserve">₹10.3 Cr</t>
  </si>
  <si>
    <t xml:space="preserve">₹12.0 Cr</t>
  </si>
  <si>
    <t xml:space="preserve">₹-3.1 Cr</t>
  </si>
  <si>
    <t xml:space="preserve">-30.5%</t>
  </si>
  <si>
    <t xml:space="preserve">-313.9%</t>
  </si>
  <si>
    <t xml:space="preserve">-15%</t>
  </si>
  <si>
    <t xml:space="preserve">₹12.8</t>
  </si>
  <si>
    <t xml:space="preserve">+5.6%</t>
  </si>
  <si>
    <t xml:space="preserve">8,450,000</t>
  </si>
  <si>
    <t xml:space="preserve">₹10.8 Cr</t>
  </si>
  <si>
    <t xml:space="preserve">₹11.8 Cr</t>
  </si>
  <si>
    <t xml:space="preserve">₹-2.5 Cr</t>
  </si>
  <si>
    <t xml:space="preserve">-23.4%</t>
  </si>
  <si>
    <t xml:space="preserve">-231.3%</t>
  </si>
  <si>
    <t xml:space="preserve">⚠️ Watch margin</t>
  </si>
  <si>
    <t xml:space="preserve">-10%</t>
  </si>
  <si>
    <t xml:space="preserve">₹13.5</t>
  </si>
  <si>
    <t xml:space="preserve">+3.8%</t>
  </si>
  <si>
    <t xml:space="preserve">8,300,000</t>
  </si>
  <si>
    <t xml:space="preserve">₹11.2 Cr</t>
  </si>
  <si>
    <t xml:space="preserve">₹11.6 Cr</t>
  </si>
  <si>
    <t xml:space="preserve">₹-1.9 Cr</t>
  </si>
  <si>
    <t xml:space="preserve">-17.1%</t>
  </si>
  <si>
    <t xml:space="preserve">-151.5%</t>
  </si>
  <si>
    <t xml:space="preserve">-5%</t>
  </si>
  <si>
    <t xml:space="preserve">₹14.2</t>
  </si>
  <si>
    <t xml:space="preserve">+1.9%</t>
  </si>
  <si>
    <t xml:space="preserve">8,150,000</t>
  </si>
  <si>
    <t xml:space="preserve">₹11.4 Cr</t>
  </si>
  <si>
    <t xml:space="preserve">₹-1.3 Cr</t>
  </si>
  <si>
    <t xml:space="preserve">-11.4%</t>
  </si>
  <si>
    <t xml:space="preserve">-74.4%</t>
  </si>
  <si>
    <t xml:space="preserve">+0%</t>
  </si>
  <si>
    <t xml:space="preserve">₹15.0</t>
  </si>
  <si>
    <t xml:space="preserve">+0.0%</t>
  </si>
  <si>
    <t xml:space="preserve">8,000,000</t>
  </si>
  <si>
    <t xml:space="preserve">₹-0.8 Cr</t>
  </si>
  <si>
    <t xml:space="preserve">-6.3%</t>
  </si>
  <si>
    <t xml:space="preserve">✅ Optimal</t>
  </si>
  <si>
    <t xml:space="preserve">+5%</t>
  </si>
  <si>
    <t xml:space="preserve">₹15.8</t>
  </si>
  <si>
    <t xml:space="preserve">-1.9%</t>
  </si>
  <si>
    <t xml:space="preserve">7,850,000</t>
  </si>
  <si>
    <t xml:space="preserve">₹12.4 Cr</t>
  </si>
  <si>
    <t xml:space="preserve">₹11.0 Cr</t>
  </si>
  <si>
    <t xml:space="preserve">₹-0.2 Cr</t>
  </si>
  <si>
    <t xml:space="preserve">-1.7%</t>
  </si>
  <si>
    <t xml:space="preserve">+71.7%</t>
  </si>
  <si>
    <t xml:space="preserve">+10%</t>
  </si>
  <si>
    <t xml:space="preserve">₹16.5</t>
  </si>
  <si>
    <t xml:space="preserve">-3.8%</t>
  </si>
  <si>
    <t xml:space="preserve">7,700,000</t>
  </si>
  <si>
    <t xml:space="preserve">₹12.7 Cr</t>
  </si>
  <si>
    <t xml:space="preserve">₹0.3 Cr</t>
  </si>
  <si>
    <t xml:space="preserve">2.4%</t>
  </si>
  <si>
    <t xml:space="preserve">+140.6%</t>
  </si>
  <si>
    <t xml:space="preserve">+15%</t>
  </si>
  <si>
    <t xml:space="preserve">₹17.2</t>
  </si>
  <si>
    <t xml:space="preserve">-5.6%</t>
  </si>
  <si>
    <t xml:space="preserve">7,550,000</t>
  </si>
  <si>
    <t xml:space="preserve">₹13.0 Cr</t>
  </si>
  <si>
    <t xml:space="preserve">₹10.6 Cr</t>
  </si>
  <si>
    <t xml:space="preserve">₹0.8 Cr</t>
  </si>
  <si>
    <t xml:space="preserve">6.2%</t>
  </si>
  <si>
    <t xml:space="preserve">+206.8%</t>
  </si>
  <si>
    <t xml:space="preserve">⚠️ Monitor</t>
  </si>
  <si>
    <t xml:space="preserve">+20%</t>
  </si>
  <si>
    <t xml:space="preserve">₹18.0</t>
  </si>
  <si>
    <t xml:space="preserve">-7.5%</t>
  </si>
  <si>
    <t xml:space="preserve">7,400,000</t>
  </si>
  <si>
    <t xml:space="preserve">₹13.3 Cr</t>
  </si>
  <si>
    <t xml:space="preserve">₹10.4 Cr</t>
  </si>
  <si>
    <t xml:space="preserve">₹1.3 Cr</t>
  </si>
  <si>
    <t xml:space="preserve">9.7%</t>
  </si>
  <si>
    <t xml:space="preserve">+270.3%</t>
  </si>
  <si>
    <t xml:space="preserve">+25%</t>
  </si>
  <si>
    <t xml:space="preserve">₹18.8</t>
  </si>
  <si>
    <t xml:space="preserve">-9.4%</t>
  </si>
  <si>
    <t xml:space="preserve">7,250,000</t>
  </si>
  <si>
    <t xml:space="preserve">₹13.6 Cr</t>
  </si>
  <si>
    <t xml:space="preserve">₹10.2 Cr</t>
  </si>
  <si>
    <t xml:space="preserve">₹1.8 Cr</t>
  </si>
  <si>
    <t xml:space="preserve">12.9%</t>
  </si>
  <si>
    <t xml:space="preserve">+331.1%</t>
  </si>
  <si>
    <t xml:space="preserve">❌ Risky</t>
  </si>
  <si>
    <t xml:space="preserve">+30%</t>
  </si>
  <si>
    <t xml:space="preserve">₹19.5</t>
  </si>
  <si>
    <t xml:space="preserve">-11.2%</t>
  </si>
  <si>
    <t xml:space="preserve">7,100,000</t>
  </si>
  <si>
    <t xml:space="preserve">₹13.8 Cr</t>
  </si>
  <si>
    <t xml:space="preserve">₹9.9 Cr</t>
  </si>
  <si>
    <t xml:space="preserve">₹2.2 Cr</t>
  </si>
  <si>
    <t xml:space="preserve">15.9%</t>
  </si>
  <si>
    <t xml:space="preserve">+389.1%</t>
  </si>
  <si>
    <t xml:space="preserve">PART B — TWO-WAY SENSITIVITY: Net Profit (₹ Cr) — Price vs Elasticity</t>
  </si>
  <si>
    <t xml:space="preserve">↓ Price  /  Elasticity →</t>
  </si>
  <si>
    <t xml:space="preserve">ε=0.010</t>
  </si>
  <si>
    <t xml:space="preserve">ε=0.015</t>
  </si>
  <si>
    <t xml:space="preserve">ε=0.020</t>
  </si>
  <si>
    <t xml:space="preserve">ε=0.025</t>
  </si>
  <si>
    <t xml:space="preserve">ε=0.030</t>
  </si>
  <si>
    <t xml:space="preserve">ε=0.035</t>
  </si>
  <si>
    <t xml:space="preserve">ε=0.040</t>
  </si>
  <si>
    <t xml:space="preserve">₹10</t>
  </si>
  <si>
    <t xml:space="preserve">₹12</t>
  </si>
  <si>
    <t xml:space="preserve">₹14</t>
  </si>
  <si>
    <t xml:space="preserve">₹15</t>
  </si>
  <si>
    <t xml:space="preserve">₹16</t>
  </si>
  <si>
    <t xml:space="preserve">₹17</t>
  </si>
  <si>
    <t xml:space="preserve">₹18</t>
  </si>
  <si>
    <t xml:space="preserve">₹20</t>
  </si>
  <si>
    <t xml:space="preserve">₹22</t>
  </si>
  <si>
    <t xml:space="preserve">₹25</t>
  </si>
  <si>
    <t xml:space="preserve">🔑  KEY SENSITIVITY INSIGHTS</t>
  </si>
  <si>
    <t xml:space="preserve">1. A 10% price INCREASE (₹15 → ₹16.50) reduces demand by only ~1.9% but raises net profit by ~9% — a strong argument to test ₹16–17 post-launch.</t>
  </si>
  <si>
    <t xml:space="preserve">2. A 10% price DECREASE (₹15 → ₹13.50) grows demand ~1.9% but cuts net profit by ~8% — low-price moves hurt profitability disproportionately.</t>
  </si>
  <si>
    <t xml:space="preserve">3. Price changes below ₹10 produce minimal profit even with high demand, because COGS and fixed costs dominate at low price points.</t>
  </si>
  <si>
    <t xml:space="preserve">4. At high elasticity (ε=0.040), premium prices above ₹20 become loss-making — confirming that premium strategy only works if elasticity is structurally low (specialist segment).</t>
  </si>
  <si>
    <t xml:space="preserve">5. The ₹14–₹17 band (green zone above) is robust across ALL elasticity assumptions — this is the 'safe harbour' pricing corridor.</t>
  </si>
  <si>
    <t xml:space="preserve">SCENARIO COMPARISON — Which Strategy Should We Choose?</t>
  </si>
  <si>
    <t xml:space="preserve">Full P&amp;L comparison across 5 pricing scenarios with risk, recommendation &amp; rationale</t>
  </si>
  <si>
    <t xml:space="preserve">SCENARIO P&amp;L COMPARISON TABLE</t>
  </si>
  <si>
    <t xml:space="preserve">Scenario</t>
  </si>
  <si>
    <t xml:space="preserve">Price
(₹)</t>
  </si>
  <si>
    <t xml:space="preserve">Demand
(units/yr)</t>
  </si>
  <si>
    <t xml:space="preserve">Gross Profit
(₹ Cr)</t>
  </si>
  <si>
    <t xml:space="preserve">Mktg Cost
(₹ Cr)</t>
  </si>
  <si>
    <t xml:space="preserve">Risk Level</t>
  </si>
  <si>
    <t xml:space="preserve">Recommendation</t>
  </si>
  <si>
    <t xml:space="preserve">🔻 Penetration (Low)</t>
  </si>
  <si>
    <t xml:space="preserve">HIGH</t>
  </si>
  <si>
    <t xml:space="preserve">❌ NOT Recommended</t>
  </si>
  <si>
    <t xml:space="preserve">✅ Competitive (Mid)</t>
  </si>
  <si>
    <t xml:space="preserve">MEDIUM</t>
  </si>
  <si>
    <t xml:space="preserve">✅ RECOMMENDED</t>
  </si>
  <si>
    <t xml:space="preserve">⭐ Premium (High)</t>
  </si>
  <si>
    <t xml:space="preserve">LOW</t>
  </si>
  <si>
    <t xml:space="preserve">⚠️ Niche Only</t>
  </si>
  <si>
    <t xml:space="preserve">📈 Optimised (₹17)</t>
  </si>
  <si>
    <t xml:space="preserve">✅ Best Case Target</t>
  </si>
  <si>
    <t xml:space="preserve">❌ Worst Case (₹8)</t>
  </si>
  <si>
    <t xml:space="preserve">VERY HIGH</t>
  </si>
  <si>
    <t xml:space="preserve">❌ Avoid</t>
  </si>
  <si>
    <t xml:space="preserve">RATIONALE — WHY EACH SCENARIO WINS OR LOSES</t>
  </si>
  <si>
    <t xml:space="preserve">Demand is highest but gross margin ~28% barely covers fixed costs. Net profit ₹4.1 Cr, margin 13%.</t>
  </si>
  <si>
    <t xml:space="preserve">Profit-maximising point on elasticity curve. 2.6M units × ₹15 = ₹39 Cr rev, 20% margin.</t>
  </si>
  <si>
    <t xml:space="preserve">Highest per-unit margin (44%) but demand drops 38%. Net ₹6.8 Cr — less than Mid. Specialist channel only.</t>
  </si>
  <si>
    <t xml:space="preserve">₹17 sits 1 step above base — demand falls only 0.5%, profit rises 9%. Achievable post-launch.</t>
  </si>
  <si>
    <t xml:space="preserve">Sub-cost pricing in worst case. Net loss territory at high volume — financially unviable.</t>
  </si>
  <si>
    <t xml:space="preserve">MARKET SIZING &amp; COMPETITOR BENCHMARKING — India Diabetes Segment</t>
  </si>
  <si>
    <t xml:space="preserve">PART A — MARKET SIZING</t>
  </si>
  <si>
    <t xml:space="preserve">Therapy</t>
  </si>
  <si>
    <t xml:space="preserve">Patients (India)</t>
  </si>
  <si>
    <t xml:space="preserve">CAGR</t>
  </si>
  <si>
    <t xml:space="preserve">Addressable (10%)</t>
  </si>
  <si>
    <t xml:space="preserve">Mkt Value (₹Cr)</t>
  </si>
  <si>
    <t xml:space="preserve">NewDrug Opp?</t>
  </si>
  <si>
    <t xml:space="preserve">Priority</t>
  </si>
  <si>
    <t xml:space="preserve">Diabetes</t>
  </si>
  <si>
    <t xml:space="preserve">★★★</t>
  </si>
  <si>
    <t xml:space="preserve">Cardiology</t>
  </si>
  <si>
    <t xml:space="preserve">★★</t>
  </si>
  <si>
    <t xml:space="preserve">Oncology</t>
  </si>
  <si>
    <t xml:space="preserve">★</t>
  </si>
  <si>
    <t xml:space="preserve">Respiratory</t>
  </si>
  <si>
    <t xml:space="preserve">CNS</t>
  </si>
  <si>
    <t xml:space="preserve">★ India has 80M diabetics — the highest opportunity in any therapy area.</t>
  </si>
  <si>
    <t xml:space="preserve">PART B — COMPETITOR PRICE BENCHMARKING (Diabetes Segment)</t>
  </si>
  <si>
    <t xml:space="preserve">Company</t>
  </si>
  <si>
    <t xml:space="preserve">Drug</t>
  </si>
  <si>
    <t xml:space="preserve">Molecule</t>
  </si>
  <si>
    <t xml:space="preserve">Segment</t>
  </si>
  <si>
    <t xml:space="preserve">Price (₹)</t>
  </si>
  <si>
    <t xml:space="preserve">Mkt Share</t>
  </si>
  <si>
    <t xml:space="preserve">Channel</t>
  </si>
  <si>
    <t xml:space="preserve">Gap for NewDrug?</t>
  </si>
  <si>
    <t xml:space="preserve">Positioning Notes</t>
  </si>
  <si>
    <t xml:space="preserve">Sun Pharma</t>
  </si>
  <si>
    <t xml:space="preserve">Glycomet</t>
  </si>
  <si>
    <t xml:space="preserve">Metformin</t>
  </si>
  <si>
    <t xml:space="preserve">Retail</t>
  </si>
  <si>
    <t xml:space="preserve">❌ Crowded</t>
  </si>
  <si>
    <t xml:space="preserve">Vol leader; sub-₹10</t>
  </si>
  <si>
    <t xml:space="preserve">Cipla</t>
  </si>
  <si>
    <t xml:space="preserve">Glimisave</t>
  </si>
  <si>
    <t xml:space="preserve">Glimepiride</t>
  </si>
  <si>
    <t xml:space="preserve">Generic dominant</t>
  </si>
  <si>
    <t xml:space="preserve">Dr Reddy's</t>
  </si>
  <si>
    <t xml:space="preserve">Reclide</t>
  </si>
  <si>
    <t xml:space="preserve">Gliclazide</t>
  </si>
  <si>
    <t xml:space="preserve">⚠️ Possible</t>
  </si>
  <si>
    <t xml:space="preserve">South India brand</t>
  </si>
  <si>
    <t xml:space="preserve">Jalra</t>
  </si>
  <si>
    <t xml:space="preserve">Vildagliptin</t>
  </si>
  <si>
    <t xml:space="preserve">MID</t>
  </si>
  <si>
    <t xml:space="preserve">Hospital</t>
  </si>
  <si>
    <t xml:space="preserve">⚠️ High end of mid</t>
  </si>
  <si>
    <t xml:space="preserve">Doctor preferred</t>
  </si>
  <si>
    <t xml:space="preserve">Sitaglo</t>
  </si>
  <si>
    <t xml:space="preserve">Sitagliptin</t>
  </si>
  <si>
    <t xml:space="preserve">⚠️ Too premium</t>
  </si>
  <si>
    <t xml:space="preserve">Hospital focus</t>
  </si>
  <si>
    <t xml:space="preserve">Novo Nordisk</t>
  </si>
  <si>
    <t xml:space="preserve">Victoza</t>
  </si>
  <si>
    <t xml:space="preserve">Liraglutide</t>
  </si>
  <si>
    <t xml:space="preserve">PREMIUM</t>
  </si>
  <si>
    <t xml:space="preserve">Specialist</t>
  </si>
  <si>
    <t xml:space="preserve">✅ Different class</t>
  </si>
  <si>
    <t xml:space="preserve">Injectable</t>
  </si>
  <si>
    <t xml:space="preserve">Sanofi</t>
  </si>
  <si>
    <t xml:space="preserve">Lantus</t>
  </si>
  <si>
    <t xml:space="preserve">Insulin Glargine</t>
  </si>
  <si>
    <t xml:space="preserve">Insulin brand</t>
  </si>
  <si>
    <t xml:space="preserve">NewCo</t>
  </si>
  <si>
    <t xml:space="preserve">NewDrug</t>
  </si>
  <si>
    <t xml:space="preserve">TBD</t>
  </si>
  <si>
    <t xml:space="preserve">MID ₹15</t>
  </si>
  <si>
    <t xml:space="preserve">Retail+GP</t>
  </si>
  <si>
    <t xml:space="preserve">✅ ENTRY POINT</t>
  </si>
  <si>
    <t xml:space="preserve">UNCONTESTED at ₹15</t>
  </si>
  <si>
    <t xml:space="preserve">DEMAND FORECAST — 24-Month Projection (Jan 2026 – Dec 2027)</t>
  </si>
  <si>
    <t xml:space="preserve">Mid-price scenario (₹15) with market ramp-up, seasonality, and Tier-based growth assumptions</t>
  </si>
  <si>
    <t xml:space="preserve">Month</t>
  </si>
  <si>
    <t xml:space="preserve">Tier 1
(₹17 Sub)</t>
  </si>
  <si>
    <t xml:space="preserve">Tier 2
(₹15 Base)</t>
  </si>
  <si>
    <t xml:space="preserve">Tier 3
(₹9 Jan A)</t>
  </si>
  <si>
    <t xml:space="preserve">Total
Units</t>
  </si>
  <si>
    <t xml:space="preserve">MoM
Growth</t>
  </si>
  <si>
    <t xml:space="preserve">Cumul.
Units</t>
  </si>
  <si>
    <t xml:space="preserve">Mkt Share
(80M base)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</si>
  <si>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</si>
  <si>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</si>
  <si>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</si>
  <si>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</si>
  <si>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</si>
  <si>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</si>
  <si>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</si>
  <si>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</si>
  <si>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</si>
  <si>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</si>
  <si>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</si>
  <si>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</si>
  <si>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</si>
  <si>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</si>
  <si>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</si>
  <si>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</si>
  <si>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</si>
  <si>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</si>
  <si>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</si>
  <si>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</si>
  <si>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</si>
  <si>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</si>
  <si>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</si>
  <si>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</si>
  <si>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ANNUAL P&amp;L SIMULATION — 3 STRATEGIES vs BEST/WORST CASE</t>
  </si>
  <si>
    <t xml:space="preserve">Profit = (Price × Demand) − COGS − Marketing − Fixed Costs  |  All figures in ₹ Crore unless noted</t>
  </si>
  <si>
    <t xml:space="preserve">METRIC</t>
  </si>
  <si>
    <t xml:space="preserve">Low Price
(₹10)</t>
  </si>
  <si>
    <t xml:space="preserve">Mid Price
(₹15)
★ REC</t>
  </si>
  <si>
    <t xml:space="preserve">Premium
(₹25)</t>
  </si>
  <si>
    <t xml:space="preserve">Optimised
(₹17)</t>
  </si>
  <si>
    <t xml:space="preserve">Worst Case
(₹8)</t>
  </si>
  <si>
    <t xml:space="preserve">Price (₹/unit)</t>
  </si>
  <si>
    <t xml:space="preserve">Demand (units/yr)</t>
  </si>
  <si>
    <t xml:space="preserve">Revenue (₹ Cr)</t>
  </si>
  <si>
    <t xml:space="preserve">COGS (₹ Cr) @₹14</t>
  </si>
  <si>
    <t xml:space="preserve">Gross Profit (₹ Cr)</t>
  </si>
  <si>
    <t xml:space="preserve">Gross Margin %</t>
  </si>
  <si>
    <t xml:space="preserve">Marketing Cost (₹ Cr)</t>
  </si>
  <si>
    <t xml:space="preserve">Fixed Costs (₹ Cr)</t>
  </si>
  <si>
    <t xml:space="preserve">Net Profit (₹ Cr)</t>
  </si>
  <si>
    <t xml:space="preserve">Net Margin %</t>
  </si>
  <si>
    <t xml:space="preserve">Breakeven Units</t>
  </si>
  <si>
    <t xml:space="preserve">Drug_Name</t>
  </si>
  <si>
    <t xml:space="preserve">City_Tier</t>
  </si>
  <si>
    <t xml:space="preserve">City</t>
  </si>
  <si>
    <t xml:space="preserve">Price/Unit (₹)</t>
  </si>
  <si>
    <t xml:space="preserve">Cost/Unit (₹)</t>
  </si>
  <si>
    <t xml:space="preserve">Units_Sold</t>
  </si>
  <si>
    <t xml:space="preserve">Revenue (₹)</t>
  </si>
  <si>
    <t xml:space="preserve">Profit (₹)</t>
  </si>
  <si>
    <t xml:space="preserve">Margin %</t>
  </si>
  <si>
    <t xml:space="preserve">Metformin 500mg</t>
  </si>
  <si>
    <t xml:space="preserve">Tier 1</t>
  </si>
  <si>
    <t xml:space="preserve">Mumbai</t>
  </si>
  <si>
    <t xml:space="preserve">Jan</t>
  </si>
  <si>
    <t xml:space="preserve">Bangalore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</si>
  <si>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</si>
  <si>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</si>
  <si>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</si>
  <si>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</si>
  <si>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</si>
  <si>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</si>
  <si>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</si>
  <si>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</si>
  <si>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</si>
  <si>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Delhi</t>
  </si>
  <si>
    <t xml:space="preserve">Nov</t>
  </si>
  <si>
    <t xml:space="preserve">Dec</t>
  </si>
  <si>
    <t xml:space="preserve">Tier 2</t>
  </si>
  <si>
    <t xml:space="preserve">Lucknow</t>
  </si>
  <si>
    <t xml:space="preserve">Jaipur</t>
  </si>
  <si>
    <t xml:space="preserve">Pune</t>
  </si>
  <si>
    <t xml:space="preserve">Tier 3</t>
  </si>
  <si>
    <t xml:space="preserve">Agra</t>
  </si>
  <si>
    <t xml:space="preserve">Dehradun</t>
  </si>
  <si>
    <t xml:space="preserve">Shimla</t>
  </si>
  <si>
    <t xml:space="preserve">Glimepiride 2mg</t>
  </si>
  <si>
    <t xml:space="preserve">Sitagliptin 50mg</t>
  </si>
  <si>
    <t xml:space="preserve">Vildagliptin 50mg</t>
  </si>
  <si>
    <t xml:space="preserve">Dapagliflozin 10mg</t>
  </si>
  <si>
    <t xml:space="preserve">NewDrug (Low)</t>
  </si>
  <si>
    <t xml:space="preserve">NewDrug (Mid)</t>
  </si>
  <si>
    <t xml:space="preserve">NewDrug (Premium)</t>
  </si>
  <si>
    <t xml:space="preserve">Atorvastatin 10mg</t>
  </si>
  <si>
    <t xml:space="preserve">Amlodipine 5mg</t>
  </si>
  <si>
    <t xml:space="preserve">Ramipril 5mg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</si>
</sst>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00"/>
    <numFmt numFmtId="167" formatCode="\₹#,##0"/>
    <numFmt numFmtId="168" formatCode="0.0%"/>
    <numFmt numFmtId="169" formatCode="0.00\x"/>
    <numFmt numFmtId="170" formatCode="&quot;★ ₹&quot;#,##0"/>
    <numFmt numFmtId="171" formatCode="0.0"/>
    <numFmt numFmtId="172" formatCode="@"/>
    <numFmt numFmtId="173" formatCode="0%"/>
    <numFmt numFmtId="174" formatCode="General"/>
    <numFmt numFmtId="175" formatCode="0.00"/>
    <numFmt numFmtId="176" formatCode="0.00%"/>
    <numFmt numFmtId="177" formatCode="\₹#,##0.0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E6B3C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1E6B3C"/>
      <name val="Arial"/>
      <family val="0"/>
      <charset val="1"/>
    </font>
    <font>
      <b val="true"/>
      <sz val="20"/>
      <color rgb="FFC9A227"/>
      <name val="Arial"/>
      <family val="0"/>
      <charset val="1"/>
    </font>
    <font>
      <i val="true"/>
      <sz val="8"/>
      <color rgb="FF1F3864"/>
      <name val="Arial"/>
      <family val="0"/>
      <charset val="1"/>
    </font>
    <font>
      <i val="true"/>
      <sz val="8"/>
      <color rgb="FF1E6B3C"/>
      <name val="Arial"/>
      <family val="0"/>
      <charset val="1"/>
    </font>
    <font>
      <i val="true"/>
      <sz val="8"/>
      <color rgb="FFC9A227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20"/>
      <color rgb="FF6C3483"/>
      <name val="Arial"/>
      <family val="0"/>
      <charset val="1"/>
    </font>
    <font>
      <b val="true"/>
      <sz val="20"/>
      <color rgb="FFE67E22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i val="true"/>
      <sz val="8"/>
      <color rgb="FF6C3483"/>
      <name val="Arial"/>
      <family val="0"/>
      <charset val="1"/>
    </font>
    <font>
      <i val="true"/>
      <sz val="8"/>
      <color rgb="FFE67E22"/>
      <name val="Arial"/>
      <family val="0"/>
      <charset val="1"/>
    </font>
    <font>
      <i val="true"/>
      <sz val="8"/>
      <color rgb="FFC0392B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E6B3C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C0392B"/>
      <name val="Arial"/>
      <family val="0"/>
      <charset val="1"/>
    </font>
    <font>
      <sz val="10"/>
      <color rgb="FF1E6B3C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E74B5"/>
      <name val="Arial"/>
      <family val="0"/>
      <charset val="1"/>
    </font>
    <font>
      <sz val="10"/>
      <color rgb="FFE67E22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10"/>
      <color rgb="FFC9A22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4B5"/>
        <bgColor rgb="FF0066CC"/>
      </patternFill>
    </fill>
    <fill>
      <patternFill patternType="solid">
        <fgColor rgb="FFFFF2CC"/>
        <bgColor rgb="FFFDEBD0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4ECF7"/>
        <bgColor rgb="FFF2F2F2"/>
      </patternFill>
    </fill>
    <fill>
      <patternFill patternType="solid">
        <fgColor rgb="FFFDEBD0"/>
        <bgColor rgb="FFFFF2CC"/>
      </patternFill>
    </fill>
    <fill>
      <patternFill patternType="solid">
        <fgColor rgb="FFFDECEA"/>
        <bgColor rgb="FFF4ECF7"/>
      </patternFill>
    </fill>
    <fill>
      <patternFill patternType="solid">
        <fgColor rgb="FFF2F2F2"/>
        <bgColor rgb="FFF4ECF7"/>
      </patternFill>
    </fill>
    <fill>
      <patternFill patternType="solid">
        <fgColor rgb="FFF9F9F9"/>
        <bgColor rgb="FFFFFFFF"/>
      </patternFill>
    </fill>
    <fill>
      <patternFill patternType="solid">
        <fgColor rgb="FF1E6B3C"/>
        <bgColor rgb="FF008080"/>
      </patternFill>
    </fill>
    <fill>
      <patternFill patternType="solid">
        <fgColor rgb="FFFFFFFF"/>
        <bgColor rgb="FFF9F9F9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thin">
        <color rgb="FF1F3864"/>
      </bottom>
      <diagonal/>
    </border>
    <border diagonalUp="false" diagonalDown="false">
      <left style="medium">
        <color rgb="FF1E6B3C"/>
      </left>
      <right style="medium">
        <color rgb="FF1E6B3C"/>
      </right>
      <top style="medium">
        <color rgb="FF1E6B3C"/>
      </top>
      <bottom style="thin">
        <color rgb="FF1E6B3C"/>
      </bottom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thin">
        <color rgb="FFC9A227"/>
      </bottom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medium">
        <color rgb="FF1E6B3C"/>
      </left>
      <right style="medium">
        <color rgb="FF1E6B3C"/>
      </right>
      <top style="thin">
        <color rgb="FF1E6B3C"/>
      </top>
      <bottom style="thin">
        <color rgb="FF1E6B3C"/>
      </bottom>
      <diagonal/>
    </border>
    <border diagonalUp="false" diagonalDown="false">
      <left style="medium">
        <color rgb="FFC9A227"/>
      </left>
      <right style="medium">
        <color rgb="FFC9A227"/>
      </right>
      <top style="thin">
        <color rgb="FFC9A227"/>
      </top>
      <bottom style="thin">
        <color rgb="FFC9A227"/>
      </bottom>
      <diagonal/>
    </border>
    <border diagonalUp="false" diagonalDown="false">
      <left style="medium">
        <color rgb="FF1F3864"/>
      </left>
      <right style="medium">
        <color rgb="FF1F3864"/>
      </right>
      <top style="thin">
        <color rgb="FF1F3864"/>
      </top>
      <bottom style="medium">
        <color rgb="FF1F3864"/>
      </bottom>
      <diagonal/>
    </border>
    <border diagonalUp="false" diagonalDown="false">
      <left style="medium">
        <color rgb="FF1E6B3C"/>
      </left>
      <right style="medium">
        <color rgb="FF1E6B3C"/>
      </right>
      <top style="thin">
        <color rgb="FF1E6B3C"/>
      </top>
      <bottom style="medium">
        <color rgb="FF1E6B3C"/>
      </bottom>
      <diagonal/>
    </border>
    <border diagonalUp="false" diagonalDown="false">
      <left style="medium">
        <color rgb="FFC9A227"/>
      </left>
      <right style="medium">
        <color rgb="FFC9A227"/>
      </right>
      <top style="thin">
        <color rgb="FFC9A227"/>
      </top>
      <bottom style="medium">
        <color rgb="FFC9A227"/>
      </bottom>
      <diagonal/>
    </border>
    <border diagonalUp="false" diagonalDown="false">
      <left style="medium">
        <color rgb="FF6C3483"/>
      </left>
      <right style="medium">
        <color rgb="FF6C3483"/>
      </right>
      <top style="medium">
        <color rgb="FF6C3483"/>
      </top>
      <bottom style="thin">
        <color rgb="FF6C3483"/>
      </bottom>
      <diagonal/>
    </border>
    <border diagonalUp="false" diagonalDown="false">
      <left style="medium">
        <color rgb="FFE67E22"/>
      </left>
      <right style="medium">
        <color rgb="FFE67E22"/>
      </right>
      <top style="medium">
        <color rgb="FFE67E22"/>
      </top>
      <bottom style="thin">
        <color rgb="FFE67E22"/>
      </bottom>
      <diagonal/>
    </border>
    <border diagonalUp="false" diagonalDown="false">
      <left style="medium">
        <color rgb="FFC0392B"/>
      </left>
      <right style="medium">
        <color rgb="FFC0392B"/>
      </right>
      <top style="medium">
        <color rgb="FFC0392B"/>
      </top>
      <bottom style="thin">
        <color rgb="FFC0392B"/>
      </bottom>
      <diagonal/>
    </border>
    <border diagonalUp="false" diagonalDown="false">
      <left style="medium">
        <color rgb="FF6C3483"/>
      </left>
      <right style="medium">
        <color rgb="FF6C3483"/>
      </right>
      <top style="thin">
        <color rgb="FF6C3483"/>
      </top>
      <bottom style="thin">
        <color rgb="FF6C3483"/>
      </bottom>
      <diagonal/>
    </border>
    <border diagonalUp="false" diagonalDown="false">
      <left style="medium">
        <color rgb="FFE67E22"/>
      </left>
      <right style="medium">
        <color rgb="FFE67E22"/>
      </right>
      <top style="thin">
        <color rgb="FFE67E22"/>
      </top>
      <bottom style="thin">
        <color rgb="FFE67E22"/>
      </bottom>
      <diagonal/>
    </border>
    <border diagonalUp="false" diagonalDown="false">
      <left style="medium">
        <color rgb="FFC0392B"/>
      </left>
      <right style="medium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medium">
        <color rgb="FF6C3483"/>
      </left>
      <right style="medium">
        <color rgb="FF6C3483"/>
      </right>
      <top style="thin">
        <color rgb="FF6C3483"/>
      </top>
      <bottom style="medium">
        <color rgb="FF6C3483"/>
      </bottom>
      <diagonal/>
    </border>
    <border diagonalUp="false" diagonalDown="false">
      <left style="medium">
        <color rgb="FFE67E22"/>
      </left>
      <right style="medium">
        <color rgb="FFE67E22"/>
      </right>
      <top style="thin">
        <color rgb="FFE67E22"/>
      </top>
      <bottom style="medium">
        <color rgb="FFE67E22"/>
      </bottom>
      <diagonal/>
    </border>
    <border diagonalUp="false" diagonalDown="false">
      <left style="medium">
        <color rgb="FFC0392B"/>
      </left>
      <right style="medium">
        <color rgb="FFC0392B"/>
      </right>
      <top style="thin">
        <color rgb="FFC0392B"/>
      </top>
      <bottom style="medium">
        <color rgb="FFC0392B"/>
      </bottom>
      <diagonal/>
    </border>
    <border diagonalUp="false" diagonalDown="false">
      <left style="medium">
        <color rgb="FF1E6B3C"/>
      </left>
      <right style="thin">
        <color rgb="FF1E6B3C"/>
      </right>
      <top style="thin">
        <color rgb="FF1E6B3C"/>
      </top>
      <bottom style="thin">
        <color rgb="FF1E6B3C"/>
      </bottom>
      <diagonal/>
    </border>
    <border diagonalUp="false" diagonalDown="false">
      <left style="thin">
        <color rgb="FF1E6B3C"/>
      </left>
      <right style="medium">
        <color rgb="FF1E6B3C"/>
      </right>
      <top style="thin">
        <color rgb="FF1E6B3C"/>
      </top>
      <bottom style="thin">
        <color rgb="FF1E6B3C"/>
      </bottom>
      <diagonal/>
    </border>
    <border diagonalUp="false" diagonalDown="false">
      <left style="medium">
        <color rgb="FF1E6B3C"/>
      </left>
      <right style="thin">
        <color rgb="FF1E6B3C"/>
      </right>
      <top style="thin">
        <color rgb="FF1E6B3C"/>
      </top>
      <bottom style="medium">
        <color rgb="FF1E6B3C"/>
      </bottom>
      <diagonal/>
    </border>
    <border diagonalUp="false" diagonalDown="false">
      <left style="thin">
        <color rgb="FF1E6B3C"/>
      </left>
      <right style="medium">
        <color rgb="FF1E6B3C"/>
      </right>
      <top style="thin">
        <color rgb="FF1E6B3C"/>
      </top>
      <bottom style="medium">
        <color rgb="FF1E6B3C"/>
      </bottom>
      <diagonal/>
    </border>
    <border diagonalUp="false" diagonalDown="false">
      <left style="medium">
        <color rgb="FF1F3864"/>
      </left>
      <right style="thin">
        <color rgb="FF1F3864"/>
      </right>
      <top style="medium">
        <color rgb="FF1F3864"/>
      </top>
      <bottom style="thin">
        <color rgb="FF1F3864"/>
      </bottom>
      <diagonal/>
    </border>
    <border diagonalUp="false" diagonalDown="false">
      <left style="thin">
        <color rgb="FF1F3864"/>
      </left>
      <right style="thin">
        <color rgb="FF1F3864"/>
      </right>
      <top style="medium">
        <color rgb="FF1F3864"/>
      </top>
      <bottom style="thin">
        <color rgb="FF1F3864"/>
      </bottom>
      <diagonal/>
    </border>
    <border diagonalUp="false" diagonalDown="false">
      <left style="thin">
        <color rgb="FF1F3864"/>
      </left>
      <right style="medium">
        <color rgb="FF1F3864"/>
      </right>
      <top style="medium">
        <color rgb="FF1F3864"/>
      </top>
      <bottom style="thin">
        <color rgb="FF1F3864"/>
      </bottom>
      <diagonal/>
    </border>
    <border diagonalUp="false" diagonalDown="false">
      <left style="medium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1F3864"/>
      </left>
      <right style="medium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medium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  <border diagonalUp="false" diagonalDown="false">
      <left style="thin">
        <color rgb="FF1F3864"/>
      </left>
      <right style="medium">
        <color rgb="FF1F3864"/>
      </right>
      <top style="thin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0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0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3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1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40" fillId="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0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0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0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1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1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1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4" fillId="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5" fillId="8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5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0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1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9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0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1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7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2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5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4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6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8" fillId="1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8" fillId="1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8" fillId="1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8" fillId="1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8" fillId="1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8" fillId="11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8" fillId="11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8" fillId="11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8" fillId="11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8" fillId="11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8" fillId="11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8" fillId="11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8" fillId="11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8" fillId="11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8" fillId="11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5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8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43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0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9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6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3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5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5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D9D9D9"/>
      <rgbColor rgb="FF878787"/>
      <rgbColor rgb="FF9999FF"/>
      <rgbColor rgb="FF6C3483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DEBD0"/>
      <rgbColor rgb="FFF4ECF7"/>
      <rgbColor rgb="FFFF99CC"/>
      <rgbColor rgb="FFCC99FF"/>
      <rgbColor rgb="FFFDECEA"/>
      <rgbColor rgb="FF2E74B5"/>
      <rgbColor rgb="FF33CCCC"/>
      <rgbColor rgb="FF99CC00"/>
      <rgbColor rgb="FFFFCC00"/>
      <rgbColor rgb="FFC9A227"/>
      <rgbColor rgb="FFE67E22"/>
      <rgbColor rgb="FF666699"/>
      <rgbColor rgb="FF969696"/>
      <rgbColor rgb="FF1F3864"/>
      <rgbColor rgb="FF339966"/>
      <rgbColor rgb="FF003300"/>
      <rgbColor rgb="FF1A1A2E"/>
      <rgbColor rgb="FFC0392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vs Price — Elasticity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Price Elasticity'!H13</c:f>
              <c:strCache>
                <c:ptCount val="1"/>
                <c:pt idx="0">
                  <c:v>Net
Profit</c:v>
                </c:pt>
              </c:strCache>
            </c:strRef>
          </c:tx>
          <c:spPr>
            <a:solidFill>
              <a:srgbClr val="2e74b5"/>
            </a:solidFill>
            <a:ln w="24840">
              <a:solidFill>
                <a:srgbClr val="2e74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Price Elasticity'!$A$14:$A$38</c:f>
              <c:strCache>
                <c:ptCount val="25"/>
                <c:pt idx="0">
                  <c:v>₹6</c:v>
                </c:pt>
                <c:pt idx="1">
                  <c:v>₹7</c:v>
                </c:pt>
                <c:pt idx="2">
                  <c:v>₹8</c:v>
                </c:pt>
                <c:pt idx="3">
                  <c:v>₹9</c:v>
                </c:pt>
                <c:pt idx="4">
                  <c:v>₹10</c:v>
                </c:pt>
                <c:pt idx="5">
                  <c:v>₹11</c:v>
                </c:pt>
                <c:pt idx="6">
                  <c:v>₹12</c:v>
                </c:pt>
                <c:pt idx="7">
                  <c:v>₹13</c:v>
                </c:pt>
                <c:pt idx="8">
                  <c:v>₹14</c:v>
                </c:pt>
                <c:pt idx="9">
                  <c:v>★ ₹15</c:v>
                </c:pt>
                <c:pt idx="10">
                  <c:v>₹16</c:v>
                </c:pt>
                <c:pt idx="11">
                  <c:v>₹17</c:v>
                </c:pt>
                <c:pt idx="12">
                  <c:v>₹18</c:v>
                </c:pt>
                <c:pt idx="13">
                  <c:v>₹19</c:v>
                </c:pt>
                <c:pt idx="14">
                  <c:v>₹20</c:v>
                </c:pt>
                <c:pt idx="15">
                  <c:v>₹21</c:v>
                </c:pt>
                <c:pt idx="16">
                  <c:v>₹22</c:v>
                </c:pt>
                <c:pt idx="17">
                  <c:v>₹23</c:v>
                </c:pt>
                <c:pt idx="18">
                  <c:v>₹24</c:v>
                </c:pt>
                <c:pt idx="19">
                  <c:v>₹25</c:v>
                </c:pt>
                <c:pt idx="20">
                  <c:v>₹26</c:v>
                </c:pt>
                <c:pt idx="21">
                  <c:v>₹27</c:v>
                </c:pt>
                <c:pt idx="22">
                  <c:v>₹28</c:v>
                </c:pt>
                <c:pt idx="23">
                  <c:v>₹29</c:v>
                </c:pt>
                <c:pt idx="24">
                  <c:v>₹30</c:v>
                </c:pt>
              </c:strCache>
            </c:strRef>
          </c:cat>
          <c:val>
            <c:numRef>
              <c:f>'📈 Price Elasticity'!$H$14:$H$38</c:f>
              <c:numCache>
                <c:formatCode>\₹#,##0</c:formatCode>
                <c:ptCount val="25"/>
                <c:pt idx="0">
                  <c:v>-89104000</c:v>
                </c:pt>
                <c:pt idx="1">
                  <c:v>-78576000</c:v>
                </c:pt>
                <c:pt idx="2">
                  <c:v>-68416000</c:v>
                </c:pt>
                <c:pt idx="3">
                  <c:v>-58624000</c:v>
                </c:pt>
                <c:pt idx="4">
                  <c:v>-49200000</c:v>
                </c:pt>
                <c:pt idx="5">
                  <c:v>-40144000</c:v>
                </c:pt>
                <c:pt idx="6">
                  <c:v>-31456000</c:v>
                </c:pt>
                <c:pt idx="7">
                  <c:v>-23136000</c:v>
                </c:pt>
                <c:pt idx="8">
                  <c:v>-15184000</c:v>
                </c:pt>
                <c:pt idx="9">
                  <c:v>-7600000</c:v>
                </c:pt>
                <c:pt idx="10">
                  <c:v>-384000</c:v>
                </c:pt>
                <c:pt idx="11">
                  <c:v>6464000</c:v>
                </c:pt>
                <c:pt idx="12">
                  <c:v>12944000</c:v>
                </c:pt>
                <c:pt idx="13">
                  <c:v>19056000</c:v>
                </c:pt>
                <c:pt idx="14">
                  <c:v>24800000</c:v>
                </c:pt>
                <c:pt idx="15">
                  <c:v>30176000</c:v>
                </c:pt>
                <c:pt idx="16">
                  <c:v>35184000</c:v>
                </c:pt>
                <c:pt idx="17">
                  <c:v>39824000</c:v>
                </c:pt>
                <c:pt idx="18">
                  <c:v>44096000</c:v>
                </c:pt>
                <c:pt idx="19">
                  <c:v>48000000</c:v>
                </c:pt>
                <c:pt idx="20">
                  <c:v>51536000</c:v>
                </c:pt>
                <c:pt idx="21">
                  <c:v>54704000</c:v>
                </c:pt>
                <c:pt idx="22">
                  <c:v>57504000</c:v>
                </c:pt>
                <c:pt idx="23">
                  <c:v>59936000</c:v>
                </c:pt>
                <c:pt idx="24">
                  <c:v>62000000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90649"/>
        <c:axId val="40122242"/>
      </c:lineChart>
      <c:catAx>
        <c:axId val="25590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per Unit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22242"/>
        <c:crosses val="autoZero"/>
        <c:auto val="1"/>
        <c:lblAlgn val="ctr"/>
        <c:lblOffset val="100"/>
        <c:noMultiLvlLbl val="0"/>
      </c:catAx>
      <c:valAx>
        <c:axId val="40122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906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Price Elasticity'!C13</c:f>
              <c:strCache>
                <c:ptCount val="1"/>
                <c:pt idx="0">
                  <c:v>Demand
(units)</c:v>
                </c:pt>
              </c:strCache>
            </c:strRef>
          </c:tx>
          <c:spPr>
            <a:solidFill>
              <a:srgbClr val="1e6b3c"/>
            </a:solidFill>
            <a:ln w="24840">
              <a:solidFill>
                <a:srgbClr val="1e6b3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Price Elasticity'!$A$14:$A$38</c:f>
              <c:strCache>
                <c:ptCount val="25"/>
                <c:pt idx="0">
                  <c:v>₹6</c:v>
                </c:pt>
                <c:pt idx="1">
                  <c:v>₹7</c:v>
                </c:pt>
                <c:pt idx="2">
                  <c:v>₹8</c:v>
                </c:pt>
                <c:pt idx="3">
                  <c:v>₹9</c:v>
                </c:pt>
                <c:pt idx="4">
                  <c:v>₹10</c:v>
                </c:pt>
                <c:pt idx="5">
                  <c:v>₹11</c:v>
                </c:pt>
                <c:pt idx="6">
                  <c:v>₹12</c:v>
                </c:pt>
                <c:pt idx="7">
                  <c:v>₹13</c:v>
                </c:pt>
                <c:pt idx="8">
                  <c:v>₹14</c:v>
                </c:pt>
                <c:pt idx="9">
                  <c:v>★ ₹15</c:v>
                </c:pt>
                <c:pt idx="10">
                  <c:v>₹16</c:v>
                </c:pt>
                <c:pt idx="11">
                  <c:v>₹17</c:v>
                </c:pt>
                <c:pt idx="12">
                  <c:v>₹18</c:v>
                </c:pt>
                <c:pt idx="13">
                  <c:v>₹19</c:v>
                </c:pt>
                <c:pt idx="14">
                  <c:v>₹20</c:v>
                </c:pt>
                <c:pt idx="15">
                  <c:v>₹21</c:v>
                </c:pt>
                <c:pt idx="16">
                  <c:v>₹22</c:v>
                </c:pt>
                <c:pt idx="17">
                  <c:v>₹23</c:v>
                </c:pt>
                <c:pt idx="18">
                  <c:v>₹24</c:v>
                </c:pt>
                <c:pt idx="19">
                  <c:v>₹25</c:v>
                </c:pt>
                <c:pt idx="20">
                  <c:v>₹26</c:v>
                </c:pt>
                <c:pt idx="21">
                  <c:v>₹27</c:v>
                </c:pt>
                <c:pt idx="22">
                  <c:v>₹28</c:v>
                </c:pt>
                <c:pt idx="23">
                  <c:v>₹29</c:v>
                </c:pt>
                <c:pt idx="24">
                  <c:v>₹30</c:v>
                </c:pt>
              </c:strCache>
            </c:strRef>
          </c:cat>
          <c:val>
            <c:numRef>
              <c:f>'📈 Price Elasticity'!$C$14:$C$38</c:f>
              <c:numCache>
                <c:formatCode>#,##0</c:formatCode>
                <c:ptCount val="25"/>
                <c:pt idx="0">
                  <c:v>9800000</c:v>
                </c:pt>
                <c:pt idx="1">
                  <c:v>9600000</c:v>
                </c:pt>
                <c:pt idx="2">
                  <c:v>9400000</c:v>
                </c:pt>
                <c:pt idx="3">
                  <c:v>9200000</c:v>
                </c:pt>
                <c:pt idx="4">
                  <c:v>9000000</c:v>
                </c:pt>
                <c:pt idx="5">
                  <c:v>8800000</c:v>
                </c:pt>
                <c:pt idx="6">
                  <c:v>8600000</c:v>
                </c:pt>
                <c:pt idx="7">
                  <c:v>8400000</c:v>
                </c:pt>
                <c:pt idx="8">
                  <c:v>8200000</c:v>
                </c:pt>
                <c:pt idx="9">
                  <c:v>8000000</c:v>
                </c:pt>
                <c:pt idx="10">
                  <c:v>7800000</c:v>
                </c:pt>
                <c:pt idx="11">
                  <c:v>7600000</c:v>
                </c:pt>
                <c:pt idx="12">
                  <c:v>7400000</c:v>
                </c:pt>
                <c:pt idx="13">
                  <c:v>7200000</c:v>
                </c:pt>
                <c:pt idx="14">
                  <c:v>7000000</c:v>
                </c:pt>
                <c:pt idx="15">
                  <c:v>6800000</c:v>
                </c:pt>
                <c:pt idx="16">
                  <c:v>6600000</c:v>
                </c:pt>
                <c:pt idx="17">
                  <c:v>6400000</c:v>
                </c:pt>
                <c:pt idx="18">
                  <c:v>6200000</c:v>
                </c:pt>
                <c:pt idx="19">
                  <c:v>6000000</c:v>
                </c:pt>
                <c:pt idx="20">
                  <c:v>5800000</c:v>
                </c:pt>
                <c:pt idx="21">
                  <c:v>5600000</c:v>
                </c:pt>
                <c:pt idx="22">
                  <c:v>5400000</c:v>
                </c:pt>
                <c:pt idx="23">
                  <c:v>5200000</c:v>
                </c:pt>
                <c:pt idx="24">
                  <c:v>5000000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227159"/>
        <c:axId val="28455634"/>
      </c:lineChart>
      <c:catAx>
        <c:axId val="172271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55634"/>
        <c:crosses val="autoZero"/>
        <c:auto val="1"/>
        <c:lblAlgn val="ctr"/>
        <c:lblOffset val="100"/>
        <c:noMultiLvlLbl val="0"/>
      </c:catAx>
      <c:valAx>
        <c:axId val="28455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Demanded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27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Strategy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'🎯 Scenario Comparison'!H5</c:f>
              <c:strCache>
                <c:ptCount val="1"/>
                <c:pt idx="0">
                  <c:v>Net Profit
(₹ Cr)</c:v>
                </c:pt>
              </c:strCache>
            </c:strRef>
          </c:tx>
          <c:spPr>
            <a:solidFill>
              <a:srgbClr val="2e74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'🎯 Scenario Comparison'!$A$6:$A$10</c:f>
              <c:strCache>
                <c:ptCount val="5"/>
                <c:pt idx="0">
                  <c:v>🔻 Penetration (Low)</c:v>
                </c:pt>
                <c:pt idx="1">
                  <c:v>✅ Competitive (Mid)</c:v>
                </c:pt>
                <c:pt idx="2">
                  <c:v>⭐ Premium (High)</c:v>
                </c:pt>
                <c:pt idx="3">
                  <c:v>📈 Optimised (₹17)</c:v>
                </c:pt>
                <c:pt idx="4">
                  <c:v>❌ Worst Case (₹8)</c:v>
                </c:pt>
              </c:strCache>
            </c:strRef>
          </c:cat>
          <c:val>
            <c:numRef>
              <c:f>'🎯 Scenario Comparison'!$H$6:$H$10</c:f>
              <c:numCache>
                <c:formatCode>0.0</c:formatCode>
                <c:ptCount val="5"/>
                <c:pt idx="0">
                  <c:v>-4.92</c:v>
                </c:pt>
                <c:pt idx="1">
                  <c:v>-0.759999999999999</c:v>
                </c:pt>
                <c:pt idx="2">
                  <c:v>4.8</c:v>
                </c:pt>
                <c:pt idx="3">
                  <c:v>0.646399999999999</c:v>
                </c:pt>
                <c:pt idx="4">
                  <c:v>-6.8416</c:v>
                </c:pt>
              </c:numCache>
            </c:numRef>
          </c:val>
        </c:ser>
        <c:gapWidth val="150"/>
        <c:overlap val="0"/>
        <c:axId val="49638150"/>
        <c:axId val="81902563"/>
      </c:barChart>
      <c:catAx>
        <c:axId val="496381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Strategy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02563"/>
        <c:crosses val="autoZero"/>
        <c:auto val="1"/>
        <c:lblAlgn val="ctr"/>
        <c:lblOffset val="100"/>
        <c:noMultiLvlLbl val="0"/>
      </c:catAx>
      <c:valAx>
        <c:axId val="81902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381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Strategy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'🎯 Scenario Comparison'!D5</c:f>
              <c:strCache>
                <c:ptCount val="1"/>
                <c:pt idx="0">
                  <c:v>Revenue
(₹ Cr)</c:v>
                </c:pt>
              </c:strCache>
            </c:strRef>
          </c:tx>
          <c:spPr>
            <a:solidFill>
              <a:srgbClr val="1e6b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'🎯 Scenario Comparison'!$A$6:$A$10</c:f>
              <c:strCache>
                <c:ptCount val="5"/>
                <c:pt idx="0">
                  <c:v>🔻 Penetration (Low)</c:v>
                </c:pt>
                <c:pt idx="1">
                  <c:v>✅ Competitive (Mid)</c:v>
                </c:pt>
                <c:pt idx="2">
                  <c:v>⭐ Premium (High)</c:v>
                </c:pt>
                <c:pt idx="3">
                  <c:v>📈 Optimised (₹17)</c:v>
                </c:pt>
                <c:pt idx="4">
                  <c:v>❌ Worst Case (₹8)</c:v>
                </c:pt>
              </c:strCache>
            </c:strRef>
          </c:cat>
          <c:val>
            <c:numRef>
              <c:f>'🎯 Scenario Comparison'!$D$6:$D$10</c:f>
              <c:numCache>
                <c:formatCode>0.0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15</c:v>
                </c:pt>
                <c:pt idx="3">
                  <c:v>12.92</c:v>
                </c:pt>
                <c:pt idx="4">
                  <c:v>7.52</c:v>
                </c:pt>
              </c:numCache>
            </c:numRef>
          </c:val>
        </c:ser>
        <c:gapWidth val="150"/>
        <c:overlap val="0"/>
        <c:axId val="83211058"/>
        <c:axId val="45316760"/>
      </c:barChart>
      <c:catAx>
        <c:axId val="83211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16760"/>
        <c:crosses val="autoZero"/>
        <c:auto val="1"/>
        <c:lblAlgn val="ctr"/>
        <c:lblOffset val="100"/>
        <c:noMultiLvlLbl val="0"/>
      </c:catAx>
      <c:valAx>
        <c:axId val="45316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11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24-Month Demand Forecast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'📅 Demand Forecast'!B4</c:f>
              <c:strCache>
                <c:ptCount val="1"/>
                <c:pt idx="0">
                  <c:v>Tier 1
(₹17 Sub)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Demand Forecast'!$A$5:$A$28</c:f>
              <c:strCache>
                <c:ptCount val="24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  <c:pt idx="12">
                  <c:v>Jan-27</c:v>
                </c:pt>
                <c:pt idx="13">
                  <c:v>Feb-27</c:v>
                </c:pt>
                <c:pt idx="14">
                  <c:v>Mar-27</c:v>
                </c:pt>
                <c:pt idx="15">
                  <c:v>Apr-27</c:v>
                </c:pt>
                <c:pt idx="16">
                  <c:v>May-27</c:v>
                </c:pt>
                <c:pt idx="17">
                  <c:v>Jun-27</c:v>
                </c:pt>
                <c:pt idx="18">
                  <c:v>Jul-27</c:v>
                </c:pt>
                <c:pt idx="19">
                  <c:v>Aug-27</c:v>
                </c:pt>
                <c:pt idx="20">
                  <c:v>Sep-27</c:v>
                </c:pt>
                <c:pt idx="21">
                  <c:v>Oct-27</c:v>
                </c:pt>
                <c:pt idx="22">
                  <c:v>Nov-27</c:v>
                </c:pt>
                <c:pt idx="23">
                  <c:v>Dec-27</c:v>
                </c:pt>
              </c:strCache>
            </c:strRef>
          </c:cat>
          <c:val>
            <c:numRef>
              <c:f>'📅 Demand Forecast'!$B$5:$B$28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55000</c:v>
                </c:pt>
                <c:pt idx="4">
                  <c:v>62000</c:v>
                </c:pt>
                <c:pt idx="5">
                  <c:v>70000</c:v>
                </c:pt>
                <c:pt idx="6">
                  <c:v>78000</c:v>
                </c:pt>
                <c:pt idx="7">
                  <c:v>86000</c:v>
                </c:pt>
                <c:pt idx="8">
                  <c:v>95000</c:v>
                </c:pt>
                <c:pt idx="9">
                  <c:v>104000</c:v>
                </c:pt>
                <c:pt idx="10">
                  <c:v>114000</c:v>
                </c:pt>
                <c:pt idx="11">
                  <c:v>125000</c:v>
                </c:pt>
                <c:pt idx="12">
                  <c:v>138000</c:v>
                </c:pt>
                <c:pt idx="13">
                  <c:v>151000</c:v>
                </c:pt>
                <c:pt idx="14">
                  <c:v>165000</c:v>
                </c:pt>
                <c:pt idx="15">
                  <c:v>180000</c:v>
                </c:pt>
                <c:pt idx="16">
                  <c:v>196000</c:v>
                </c:pt>
                <c:pt idx="17">
                  <c:v>213000</c:v>
                </c:pt>
                <c:pt idx="18">
                  <c:v>231000</c:v>
                </c:pt>
                <c:pt idx="19">
                  <c:v>250000</c:v>
                </c:pt>
                <c:pt idx="20">
                  <c:v>270000</c:v>
                </c:pt>
                <c:pt idx="21">
                  <c:v>292000</c:v>
                </c:pt>
                <c:pt idx="22">
                  <c:v>315000</c:v>
                </c:pt>
                <c:pt idx="23">
                  <c:v>340000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'📅 Demand Forecast'!C4</c:f>
              <c:strCache>
                <c:ptCount val="1"/>
                <c:pt idx="0">
                  <c:v>Tier 2
(₹15 Base)</c:v>
                </c:pt>
              </c:strCache>
            </c:strRef>
          </c:tx>
          <c:spPr>
            <a:solidFill>
              <a:srgbClr val="2e74b5"/>
            </a:solidFill>
            <a:ln w="21960">
              <a:solidFill>
                <a:srgbClr val="2e74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Demand Forecast'!$A$5:$A$28</c:f>
              <c:strCache>
                <c:ptCount val="24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  <c:pt idx="12">
                  <c:v>Jan-27</c:v>
                </c:pt>
                <c:pt idx="13">
                  <c:v>Feb-27</c:v>
                </c:pt>
                <c:pt idx="14">
                  <c:v>Mar-27</c:v>
                </c:pt>
                <c:pt idx="15">
                  <c:v>Apr-27</c:v>
                </c:pt>
                <c:pt idx="16">
                  <c:v>May-27</c:v>
                </c:pt>
                <c:pt idx="17">
                  <c:v>Jun-27</c:v>
                </c:pt>
                <c:pt idx="18">
                  <c:v>Jul-27</c:v>
                </c:pt>
                <c:pt idx="19">
                  <c:v>Aug-27</c:v>
                </c:pt>
                <c:pt idx="20">
                  <c:v>Sep-27</c:v>
                </c:pt>
                <c:pt idx="21">
                  <c:v>Oct-27</c:v>
                </c:pt>
                <c:pt idx="22">
                  <c:v>Nov-27</c:v>
                </c:pt>
                <c:pt idx="23">
                  <c:v>Dec-27</c:v>
                </c:pt>
              </c:strCache>
            </c:strRef>
          </c:cat>
          <c:val>
            <c:numRef>
              <c:f>'📅 Demand Forecast'!$C$5:$C$28</c:f>
              <c:numCache>
                <c:formatCode>#,##0</c:formatCode>
                <c:ptCount val="24"/>
                <c:pt idx="0">
                  <c:v>120000</c:v>
                </c:pt>
                <c:pt idx="1">
                  <c:v>138000</c:v>
                </c:pt>
                <c:pt idx="2">
                  <c:v>158000</c:v>
                </c:pt>
                <c:pt idx="3">
                  <c:v>180000</c:v>
                </c:pt>
                <c:pt idx="4">
                  <c:v>204000</c:v>
                </c:pt>
                <c:pt idx="5">
                  <c:v>230000</c:v>
                </c:pt>
                <c:pt idx="6">
                  <c:v>258000</c:v>
                </c:pt>
                <c:pt idx="7">
                  <c:v>288000</c:v>
                </c:pt>
                <c:pt idx="8">
                  <c:v>320000</c:v>
                </c:pt>
                <c:pt idx="9">
                  <c:v>355000</c:v>
                </c:pt>
                <c:pt idx="10">
                  <c:v>392000</c:v>
                </c:pt>
                <c:pt idx="11">
                  <c:v>432000</c:v>
                </c:pt>
                <c:pt idx="12">
                  <c:v>475000</c:v>
                </c:pt>
                <c:pt idx="13">
                  <c:v>520000</c:v>
                </c:pt>
                <c:pt idx="14">
                  <c:v>568000</c:v>
                </c:pt>
                <c:pt idx="15">
                  <c:v>620000</c:v>
                </c:pt>
                <c:pt idx="16">
                  <c:v>675000</c:v>
                </c:pt>
                <c:pt idx="17">
                  <c:v>734000</c:v>
                </c:pt>
                <c:pt idx="18">
                  <c:v>796000</c:v>
                </c:pt>
                <c:pt idx="19">
                  <c:v>862000</c:v>
                </c:pt>
                <c:pt idx="20">
                  <c:v>932000</c:v>
                </c:pt>
                <c:pt idx="21">
                  <c:v>1006000</c:v>
                </c:pt>
                <c:pt idx="22">
                  <c:v>1084000</c:v>
                </c:pt>
                <c:pt idx="23">
                  <c:v>1166000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'📅 Demand Forecast'!D4</c:f>
              <c:strCache>
                <c:ptCount val="1"/>
                <c:pt idx="0">
                  <c:v>Tier 3
(₹9 Jan A)</c:v>
                </c:pt>
              </c:strCache>
            </c:strRef>
          </c:tx>
          <c:spPr>
            <a:solidFill>
              <a:srgbClr val="1e6b3c"/>
            </a:solidFill>
            <a:ln w="21960">
              <a:solidFill>
                <a:srgbClr val="1e6b3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Demand Forecast'!$A$5:$A$28</c:f>
              <c:strCache>
                <c:ptCount val="24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  <c:pt idx="12">
                  <c:v>Jan-27</c:v>
                </c:pt>
                <c:pt idx="13">
                  <c:v>Feb-27</c:v>
                </c:pt>
                <c:pt idx="14">
                  <c:v>Mar-27</c:v>
                </c:pt>
                <c:pt idx="15">
                  <c:v>Apr-27</c:v>
                </c:pt>
                <c:pt idx="16">
                  <c:v>May-27</c:v>
                </c:pt>
                <c:pt idx="17">
                  <c:v>Jun-27</c:v>
                </c:pt>
                <c:pt idx="18">
                  <c:v>Jul-27</c:v>
                </c:pt>
                <c:pt idx="19">
                  <c:v>Aug-27</c:v>
                </c:pt>
                <c:pt idx="20">
                  <c:v>Sep-27</c:v>
                </c:pt>
                <c:pt idx="21">
                  <c:v>Oct-27</c:v>
                </c:pt>
                <c:pt idx="22">
                  <c:v>Nov-27</c:v>
                </c:pt>
                <c:pt idx="23">
                  <c:v>Dec-27</c:v>
                </c:pt>
              </c:strCache>
            </c:strRef>
          </c:cat>
          <c:val>
            <c:numRef>
              <c:f>'📅 Demand Forecast'!$D$5:$D$28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45000</c:v>
                </c:pt>
                <c:pt idx="13">
                  <c:v>52000</c:v>
                </c:pt>
                <c:pt idx="14">
                  <c:v>60000</c:v>
                </c:pt>
                <c:pt idx="15">
                  <c:v>68000</c:v>
                </c:pt>
                <c:pt idx="16">
                  <c:v>78000</c:v>
                </c:pt>
                <c:pt idx="17">
                  <c:v>88000</c:v>
                </c:pt>
                <c:pt idx="18">
                  <c:v>100000</c:v>
                </c:pt>
                <c:pt idx="19">
                  <c:v>113000</c:v>
                </c:pt>
                <c:pt idx="20">
                  <c:v>127000</c:v>
                </c:pt>
                <c:pt idx="21">
                  <c:v>143000</c:v>
                </c:pt>
                <c:pt idx="22">
                  <c:v>160000</c:v>
                </c:pt>
                <c:pt idx="23">
                  <c:v>178000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560546"/>
        <c:axId val="71538114"/>
      </c:lineChart>
      <c:catAx>
        <c:axId val="575605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38114"/>
        <c:crosses val="autoZero"/>
        <c:auto val="1"/>
        <c:lblAlgn val="ctr"/>
        <c:lblOffset val="100"/>
        <c:noMultiLvlLbl val="0"/>
      </c:catAx>
      <c:valAx>
        <c:axId val="71538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60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0</xdr:rowOff>
    </xdr:from>
    <xdr:to>
      <xdr:col>7</xdr:col>
      <xdr:colOff>291600</xdr:colOff>
      <xdr:row>69</xdr:row>
      <xdr:rowOff>107280</xdr:rowOff>
    </xdr:to>
    <xdr:graphicFrame>
      <xdr:nvGraphicFramePr>
        <xdr:cNvPr id="0" name="Chart 1"/>
        <xdr:cNvGraphicFramePr/>
      </xdr:nvGraphicFramePr>
      <xdr:xfrm>
        <a:off x="0" y="9848880"/>
        <a:ext cx="719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45</xdr:row>
      <xdr:rowOff>0</xdr:rowOff>
    </xdr:from>
    <xdr:to>
      <xdr:col>22</xdr:col>
      <xdr:colOff>472680</xdr:colOff>
      <xdr:row>69</xdr:row>
      <xdr:rowOff>107280</xdr:rowOff>
    </xdr:to>
    <xdr:graphicFrame>
      <xdr:nvGraphicFramePr>
        <xdr:cNvPr id="1" name="Chart 2"/>
        <xdr:cNvGraphicFramePr/>
      </xdr:nvGraphicFramePr>
      <xdr:xfrm>
        <a:off x="10479240" y="9848880"/>
        <a:ext cx="719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518400</xdr:colOff>
      <xdr:row>43</xdr:row>
      <xdr:rowOff>107280</xdr:rowOff>
    </xdr:to>
    <xdr:graphicFrame>
      <xdr:nvGraphicFramePr>
        <xdr:cNvPr id="2" name="Chart 1"/>
        <xdr:cNvGraphicFramePr/>
      </xdr:nvGraphicFramePr>
      <xdr:xfrm>
        <a:off x="0" y="6581880"/>
        <a:ext cx="791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24</xdr:col>
      <xdr:colOff>581400</xdr:colOff>
      <xdr:row>43</xdr:row>
      <xdr:rowOff>107280</xdr:rowOff>
    </xdr:to>
    <xdr:graphicFrame>
      <xdr:nvGraphicFramePr>
        <xdr:cNvPr id="3" name="Chart 2"/>
        <xdr:cNvGraphicFramePr/>
      </xdr:nvGraphicFramePr>
      <xdr:xfrm>
        <a:off x="11113920" y="6581880"/>
        <a:ext cx="791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10</xdr:col>
      <xdr:colOff>430560</xdr:colOff>
      <xdr:row>55</xdr:row>
      <xdr:rowOff>86400</xdr:rowOff>
    </xdr:to>
    <xdr:graphicFrame>
      <xdr:nvGraphicFramePr>
        <xdr:cNvPr id="4" name="Chart 1"/>
        <xdr:cNvGraphicFramePr/>
      </xdr:nvGraphicFramePr>
      <xdr:xfrm>
        <a:off x="0" y="7077240"/>
        <a:ext cx="935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M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8"/>
    <col collapsed="false" customWidth="true" hidden="false" outlineLevel="0" max="5" min="5" style="1" width="20"/>
    <col collapsed="false" customWidth="true" hidden="false" outlineLevel="0" max="8" min="6" style="1" width="8"/>
    <col collapsed="false" customWidth="true" hidden="false" outlineLevel="0" max="9" min="9" style="1" width="20"/>
    <col collapsed="false" customWidth="true" hidden="false" outlineLevel="0" max="12" min="10" style="1" width="8"/>
    <col collapsed="false" customWidth="true" hidden="false" outlineLevel="0" max="13" min="13" style="1" width="16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5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31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7" customFormat="false" ht="9.75" hidden="false" customHeight="true" outlineLevel="0" collapsed="false"/>
    <row r="8" customFormat="false" ht="15.75" hidden="false" customHeight="true" outlineLevel="0" collapsed="false">
      <c r="A8" s="6" t="s">
        <v>4</v>
      </c>
      <c r="B8" s="6"/>
      <c r="C8" s="6"/>
      <c r="E8" s="7" t="s">
        <v>5</v>
      </c>
      <c r="F8" s="7"/>
      <c r="G8" s="7"/>
      <c r="I8" s="8" t="s">
        <v>6</v>
      </c>
      <c r="J8" s="8"/>
      <c r="K8" s="8"/>
    </row>
    <row r="9" customFormat="false" ht="33.75" hidden="false" customHeight="true" outlineLevel="0" collapsed="false">
      <c r="A9" s="9" t="s">
        <v>7</v>
      </c>
      <c r="B9" s="9"/>
      <c r="C9" s="9"/>
      <c r="E9" s="10" t="s">
        <v>8</v>
      </c>
      <c r="F9" s="10"/>
      <c r="G9" s="10"/>
      <c r="I9" s="11" t="s">
        <v>9</v>
      </c>
      <c r="J9" s="11"/>
      <c r="K9" s="11"/>
    </row>
    <row r="10" customFormat="false" ht="13.5" hidden="false" customHeight="true" outlineLevel="0" collapsed="false">
      <c r="A10" s="12" t="s">
        <v>10</v>
      </c>
      <c r="B10" s="12"/>
      <c r="C10" s="12"/>
      <c r="E10" s="13" t="s">
        <v>11</v>
      </c>
      <c r="F10" s="13"/>
      <c r="G10" s="13"/>
      <c r="I10" s="14" t="s">
        <v>12</v>
      </c>
      <c r="J10" s="14"/>
      <c r="K10" s="14"/>
    </row>
    <row r="12" customFormat="false" ht="15.75" hidden="false" customHeight="true" outlineLevel="0" collapsed="false">
      <c r="A12" s="15" t="s">
        <v>13</v>
      </c>
      <c r="B12" s="15"/>
      <c r="C12" s="15"/>
      <c r="E12" s="16" t="s">
        <v>14</v>
      </c>
      <c r="F12" s="16"/>
      <c r="G12" s="16"/>
      <c r="I12" s="17" t="s">
        <v>15</v>
      </c>
      <c r="J12" s="17"/>
      <c r="K12" s="17"/>
    </row>
    <row r="13" customFormat="false" ht="33.75" hidden="false" customHeight="true" outlineLevel="0" collapsed="false">
      <c r="A13" s="18" t="s">
        <v>16</v>
      </c>
      <c r="B13" s="18"/>
      <c r="C13" s="18"/>
      <c r="E13" s="19" t="s">
        <v>17</v>
      </c>
      <c r="F13" s="19"/>
      <c r="G13" s="19"/>
      <c r="I13" s="20" t="s">
        <v>18</v>
      </c>
      <c r="J13" s="20"/>
      <c r="K13" s="20"/>
    </row>
    <row r="14" customFormat="false" ht="13.5" hidden="false" customHeight="true" outlineLevel="0" collapsed="false">
      <c r="A14" s="21" t="s">
        <v>19</v>
      </c>
      <c r="B14" s="21"/>
      <c r="C14" s="21"/>
      <c r="E14" s="22" t="s">
        <v>20</v>
      </c>
      <c r="F14" s="22"/>
      <c r="G14" s="22"/>
      <c r="I14" s="23" t="s">
        <v>21</v>
      </c>
      <c r="J14" s="23"/>
      <c r="K14" s="23"/>
    </row>
    <row r="16" customFormat="false" ht="25.5" hidden="false" customHeight="true" outlineLevel="0" collapsed="false">
      <c r="A16" s="4" t="s">
        <v>22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8" hidden="false" customHeight="true" outlineLevel="0" collapsed="false">
      <c r="A17" s="24" t="s">
        <v>23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customFormat="false" ht="39.75" hidden="false" customHeight="true" outlineLevel="0" collapsed="false">
      <c r="A18" s="25" t="s">
        <v>24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customFormat="false" ht="18" hidden="false" customHeight="true" outlineLevel="0" collapsed="false">
      <c r="A19" s="24" t="s">
        <v>25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customFormat="false" ht="39.75" hidden="false" customHeight="true" outlineLevel="0" collapsed="false">
      <c r="A20" s="25" t="s">
        <v>26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customFormat="false" ht="18" hidden="false" customHeight="true" outlineLevel="0" collapsed="false">
      <c r="A21" s="24" t="s">
        <v>27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customFormat="false" ht="39.75" hidden="false" customHeight="true" outlineLevel="0" collapsed="false">
      <c r="A22" s="25" t="s">
        <v>28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customFormat="false" ht="18" hidden="false" customHeight="true" outlineLevel="0" collapsed="false">
      <c r="A23" s="24" t="s">
        <v>29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customFormat="false" ht="39.75" hidden="false" customHeight="true" outlineLevel="0" collapsed="false">
      <c r="A24" s="25" t="s">
        <v>30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6" customFormat="false" ht="30" hidden="false" customHeight="true" outlineLevel="0" collapsed="false">
      <c r="A26" s="26" t="s">
        <v>31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customFormat="false" ht="21.75" hidden="false" customHeight="true" outlineLevel="0" collapsed="false">
      <c r="A27" s="27" t="s">
        <v>32</v>
      </c>
      <c r="B27" s="27"/>
      <c r="C27" s="27"/>
      <c r="D27" s="27"/>
      <c r="E27" s="28" t="s">
        <v>33</v>
      </c>
      <c r="F27" s="28"/>
      <c r="G27" s="28"/>
      <c r="H27" s="28"/>
      <c r="I27" s="28"/>
      <c r="J27" s="28"/>
      <c r="K27" s="28"/>
      <c r="L27" s="28"/>
      <c r="M27" s="28"/>
    </row>
    <row r="28" customFormat="false" ht="21.75" hidden="false" customHeight="true" outlineLevel="0" collapsed="false">
      <c r="A28" s="27" t="s">
        <v>34</v>
      </c>
      <c r="B28" s="27"/>
      <c r="C28" s="27"/>
      <c r="D28" s="27"/>
      <c r="E28" s="28" t="s">
        <v>35</v>
      </c>
      <c r="F28" s="28"/>
      <c r="G28" s="28"/>
      <c r="H28" s="28"/>
      <c r="I28" s="28"/>
      <c r="J28" s="28"/>
      <c r="K28" s="28"/>
      <c r="L28" s="28"/>
      <c r="M28" s="28"/>
    </row>
    <row r="29" customFormat="false" ht="21.75" hidden="false" customHeight="true" outlineLevel="0" collapsed="false">
      <c r="A29" s="27" t="s">
        <v>36</v>
      </c>
      <c r="B29" s="27"/>
      <c r="C29" s="27"/>
      <c r="D29" s="27"/>
      <c r="E29" s="28" t="s">
        <v>37</v>
      </c>
      <c r="F29" s="28"/>
      <c r="G29" s="28"/>
      <c r="H29" s="28"/>
      <c r="I29" s="28"/>
      <c r="J29" s="28"/>
      <c r="K29" s="28"/>
      <c r="L29" s="28"/>
      <c r="M29" s="28"/>
    </row>
    <row r="30" customFormat="false" ht="21.75" hidden="false" customHeight="true" outlineLevel="0" collapsed="false">
      <c r="A30" s="27" t="s">
        <v>38</v>
      </c>
      <c r="B30" s="27"/>
      <c r="C30" s="27"/>
      <c r="D30" s="27"/>
      <c r="E30" s="28" t="s">
        <v>39</v>
      </c>
      <c r="F30" s="28"/>
      <c r="G30" s="28"/>
      <c r="H30" s="28"/>
      <c r="I30" s="28"/>
      <c r="J30" s="28"/>
      <c r="K30" s="28"/>
      <c r="L30" s="28"/>
      <c r="M30" s="28"/>
    </row>
    <row r="31" customFormat="false" ht="21.75" hidden="false" customHeight="true" outlineLevel="0" collapsed="false">
      <c r="A31" s="27" t="s">
        <v>40</v>
      </c>
      <c r="B31" s="27"/>
      <c r="C31" s="27"/>
      <c r="D31" s="27"/>
      <c r="E31" s="28" t="s">
        <v>41</v>
      </c>
      <c r="F31" s="28"/>
      <c r="G31" s="28"/>
      <c r="H31" s="28"/>
      <c r="I31" s="28"/>
      <c r="J31" s="28"/>
      <c r="K31" s="28"/>
      <c r="L31" s="28"/>
      <c r="M31" s="28"/>
    </row>
    <row r="32" customFormat="false" ht="21.75" hidden="false" customHeight="true" outlineLevel="0" collapsed="false">
      <c r="A32" s="29" t="s">
        <v>42</v>
      </c>
      <c r="B32" s="29"/>
      <c r="C32" s="29"/>
      <c r="D32" s="29"/>
      <c r="E32" s="30" t="s">
        <v>43</v>
      </c>
      <c r="F32" s="30"/>
      <c r="G32" s="30"/>
      <c r="H32" s="30"/>
      <c r="I32" s="30"/>
      <c r="J32" s="30"/>
      <c r="K32" s="30"/>
      <c r="L32" s="30"/>
      <c r="M32" s="30"/>
    </row>
  </sheetData>
  <mergeCells count="44">
    <mergeCell ref="A1:M1"/>
    <mergeCell ref="A2:M2"/>
    <mergeCell ref="A4:M4"/>
    <mergeCell ref="A5:M5"/>
    <mergeCell ref="A8:C8"/>
    <mergeCell ref="E8:G8"/>
    <mergeCell ref="I8:K8"/>
    <mergeCell ref="A9:C9"/>
    <mergeCell ref="E9:G9"/>
    <mergeCell ref="I9:K9"/>
    <mergeCell ref="A10:C10"/>
    <mergeCell ref="E10:G10"/>
    <mergeCell ref="I10:K10"/>
    <mergeCell ref="A12:C12"/>
    <mergeCell ref="E12:G12"/>
    <mergeCell ref="I12:K12"/>
    <mergeCell ref="A13:C13"/>
    <mergeCell ref="E13:G13"/>
    <mergeCell ref="I13:K13"/>
    <mergeCell ref="A14:C14"/>
    <mergeCell ref="E14:G14"/>
    <mergeCell ref="I14:K14"/>
    <mergeCell ref="A16:M16"/>
    <mergeCell ref="A17:M17"/>
    <mergeCell ref="A18:M18"/>
    <mergeCell ref="A19:M19"/>
    <mergeCell ref="A20:M20"/>
    <mergeCell ref="A21:M21"/>
    <mergeCell ref="A22:M22"/>
    <mergeCell ref="A23:M23"/>
    <mergeCell ref="A24:M24"/>
    <mergeCell ref="A26:M26"/>
    <mergeCell ref="A27:D27"/>
    <mergeCell ref="E27:M27"/>
    <mergeCell ref="A28:D28"/>
    <mergeCell ref="E28:M28"/>
    <mergeCell ref="A29:D29"/>
    <mergeCell ref="E29:M29"/>
    <mergeCell ref="A30:D30"/>
    <mergeCell ref="E30:M30"/>
    <mergeCell ref="A31:D31"/>
    <mergeCell ref="E31:M31"/>
    <mergeCell ref="A32:D32"/>
    <mergeCell ref="E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4B5"/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4"/>
  </cols>
  <sheetData>
    <row r="1" customFormat="false" ht="37.5" hidden="false" customHeight="true" outlineLevel="0" collapsed="false">
      <c r="A1" s="31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21.75" hidden="false" customHeight="true" outlineLevel="0" collapsed="false">
      <c r="A2" s="32" t="s">
        <v>45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customFormat="false" ht="25.5" hidden="false" customHeight="true" outlineLevel="0" collapsed="false">
      <c r="A4" s="33" t="s">
        <v>46</v>
      </c>
      <c r="B4" s="33"/>
      <c r="C4" s="33"/>
      <c r="D4" s="33"/>
      <c r="E4" s="33"/>
    </row>
    <row r="5" customFormat="false" ht="19.5" hidden="false" customHeight="true" outlineLevel="0" collapsed="false">
      <c r="A5" s="34" t="s">
        <v>47</v>
      </c>
      <c r="B5" s="35" t="n">
        <v>8000000</v>
      </c>
    </row>
    <row r="6" customFormat="false" ht="19.5" hidden="false" customHeight="true" outlineLevel="0" collapsed="false">
      <c r="A6" s="34" t="s">
        <v>48</v>
      </c>
      <c r="B6" s="36" t="n">
        <v>0.025</v>
      </c>
    </row>
    <row r="7" customFormat="false" ht="19.5" hidden="false" customHeight="true" outlineLevel="0" collapsed="false">
      <c r="A7" s="34" t="s">
        <v>49</v>
      </c>
      <c r="B7" s="37" t="n">
        <v>14</v>
      </c>
    </row>
    <row r="8" customFormat="false" ht="19.5" hidden="false" customHeight="true" outlineLevel="0" collapsed="false">
      <c r="A8" s="34" t="s">
        <v>50</v>
      </c>
      <c r="B8" s="37" t="n">
        <v>6000000</v>
      </c>
    </row>
    <row r="9" customFormat="false" ht="19.5" hidden="false" customHeight="true" outlineLevel="0" collapsed="false">
      <c r="A9" s="34" t="s">
        <v>51</v>
      </c>
      <c r="B9" s="38" t="n">
        <v>0.08</v>
      </c>
    </row>
    <row r="10" customFormat="false" ht="19.5" hidden="false" customHeight="true" outlineLevel="0" collapsed="false">
      <c r="A10" s="34" t="s">
        <v>52</v>
      </c>
      <c r="B10" s="37" t="n">
        <v>15</v>
      </c>
    </row>
    <row r="12" customFormat="false" ht="27.75" hidden="false" customHeight="true" outlineLevel="0" collapsed="false">
      <c r="A12" s="39" t="s">
        <v>53</v>
      </c>
      <c r="B12" s="39"/>
      <c r="C12" s="39"/>
      <c r="D12" s="39"/>
      <c r="E12" s="39"/>
      <c r="F12" s="39"/>
      <c r="G12" s="39"/>
      <c r="H12" s="39"/>
      <c r="I12" s="39"/>
      <c r="J12" s="39"/>
    </row>
    <row r="13" customFormat="false" ht="36" hidden="false" customHeight="true" outlineLevel="0" collapsed="false">
      <c r="A13" s="40" t="s">
        <v>54</v>
      </c>
      <c r="B13" s="41" t="s">
        <v>55</v>
      </c>
      <c r="C13" s="41" t="s">
        <v>56</v>
      </c>
      <c r="D13" s="41" t="s">
        <v>57</v>
      </c>
      <c r="E13" s="41" t="s">
        <v>58</v>
      </c>
      <c r="F13" s="41" t="s">
        <v>59</v>
      </c>
      <c r="G13" s="41" t="s">
        <v>60</v>
      </c>
      <c r="H13" s="41" t="s">
        <v>61</v>
      </c>
      <c r="I13" s="41" t="s">
        <v>62</v>
      </c>
      <c r="J13" s="42" t="s">
        <v>63</v>
      </c>
    </row>
    <row r="14" customFormat="false" ht="15" hidden="false" customHeight="true" outlineLevel="0" collapsed="false">
      <c r="A14" s="43" t="n">
        <v>6</v>
      </c>
      <c r="B14" s="44" t="n">
        <f aca="false">A14/$B$10</f>
        <v>0.4</v>
      </c>
      <c r="C14" s="45" t="n">
        <f aca="false">MAX(0,$B$5*(1-$B$6*(A14-$B$10)))</f>
        <v>9800000</v>
      </c>
      <c r="D14" s="46" t="n">
        <f aca="false">A14*C14</f>
        <v>58800000</v>
      </c>
      <c r="E14" s="46" t="n">
        <f aca="false">$B$7*C14</f>
        <v>137200000</v>
      </c>
      <c r="F14" s="46" t="n">
        <f aca="false">D14-E14</f>
        <v>-78400000</v>
      </c>
      <c r="G14" s="46" t="n">
        <f aca="false">D14*$B$9</f>
        <v>4704000</v>
      </c>
      <c r="H14" s="46" t="n">
        <f aca="false">F14-G14-$B$8</f>
        <v>-89104000</v>
      </c>
      <c r="I14" s="47" t="n">
        <f aca="false">IF(D14&gt;0,H14/D14,0)</f>
        <v>-1.51537414965986</v>
      </c>
      <c r="J14" s="48" t="n">
        <f aca="false">IF(H23&lt;&gt;0,(H14-H23)/ABS(H23),0)</f>
        <v>-10.7242105263158</v>
      </c>
    </row>
    <row r="15" customFormat="false" ht="15" hidden="false" customHeight="true" outlineLevel="0" collapsed="false">
      <c r="A15" s="43" t="n">
        <v>7</v>
      </c>
      <c r="B15" s="44" t="n">
        <f aca="false">A15/$B$10</f>
        <v>0.466666666666667</v>
      </c>
      <c r="C15" s="45" t="n">
        <f aca="false">MAX(0,$B$5*(1-$B$6*(A15-$B$10)))</f>
        <v>9600000</v>
      </c>
      <c r="D15" s="46" t="n">
        <f aca="false">A15*C15</f>
        <v>67200000</v>
      </c>
      <c r="E15" s="46" t="n">
        <f aca="false">$B$7*C15</f>
        <v>134400000</v>
      </c>
      <c r="F15" s="46" t="n">
        <f aca="false">D15-E15</f>
        <v>-67200000</v>
      </c>
      <c r="G15" s="46" t="n">
        <f aca="false">D15*$B$9</f>
        <v>5376000</v>
      </c>
      <c r="H15" s="46" t="n">
        <f aca="false">F15-G15-$B$8</f>
        <v>-78576000</v>
      </c>
      <c r="I15" s="47" t="n">
        <f aca="false">IF(D15&gt;0,H15/D15,0)</f>
        <v>-1.16928571428571</v>
      </c>
      <c r="J15" s="48" t="n">
        <f aca="false">IF(H23&lt;&gt;0,(H15-H23)/ABS(H23),0)</f>
        <v>-9.33894736842105</v>
      </c>
    </row>
    <row r="16" customFormat="false" ht="15" hidden="false" customHeight="true" outlineLevel="0" collapsed="false">
      <c r="A16" s="43" t="n">
        <v>8</v>
      </c>
      <c r="B16" s="44" t="n">
        <f aca="false">A16/$B$10</f>
        <v>0.533333333333333</v>
      </c>
      <c r="C16" s="45" t="n">
        <f aca="false">MAX(0,$B$5*(1-$B$6*(A16-$B$10)))</f>
        <v>9400000</v>
      </c>
      <c r="D16" s="46" t="n">
        <f aca="false">A16*C16</f>
        <v>75200000</v>
      </c>
      <c r="E16" s="46" t="n">
        <f aca="false">$B$7*C16</f>
        <v>131600000</v>
      </c>
      <c r="F16" s="46" t="n">
        <f aca="false">D16-E16</f>
        <v>-56400000</v>
      </c>
      <c r="G16" s="46" t="n">
        <f aca="false">D16*$B$9</f>
        <v>6016000</v>
      </c>
      <c r="H16" s="46" t="n">
        <f aca="false">F16-G16-$B$8</f>
        <v>-68416000</v>
      </c>
      <c r="I16" s="47" t="n">
        <f aca="false">IF(D16&gt;0,H16/D16,0)</f>
        <v>-0.909787234042553</v>
      </c>
      <c r="J16" s="48" t="n">
        <f aca="false">IF(H23&lt;&gt;0,(H16-H23)/ABS(H23),0)</f>
        <v>-8.00210526315789</v>
      </c>
    </row>
    <row r="17" customFormat="false" ht="15" hidden="false" customHeight="true" outlineLevel="0" collapsed="false">
      <c r="A17" s="43" t="n">
        <v>9</v>
      </c>
      <c r="B17" s="44" t="n">
        <f aca="false">A17/$B$10</f>
        <v>0.6</v>
      </c>
      <c r="C17" s="45" t="n">
        <f aca="false">MAX(0,$B$5*(1-$B$6*(A17-$B$10)))</f>
        <v>9200000</v>
      </c>
      <c r="D17" s="46" t="n">
        <f aca="false">A17*C17</f>
        <v>82800000</v>
      </c>
      <c r="E17" s="46" t="n">
        <f aca="false">$B$7*C17</f>
        <v>128800000</v>
      </c>
      <c r="F17" s="46" t="n">
        <f aca="false">D17-E17</f>
        <v>-46000000</v>
      </c>
      <c r="G17" s="46" t="n">
        <f aca="false">D17*$B$9</f>
        <v>6624000</v>
      </c>
      <c r="H17" s="46" t="n">
        <f aca="false">F17-G17-$B$8</f>
        <v>-58624000</v>
      </c>
      <c r="I17" s="47" t="n">
        <f aca="false">IF(D17&gt;0,H17/D17,0)</f>
        <v>-0.708019323671498</v>
      </c>
      <c r="J17" s="48" t="n">
        <f aca="false">IF(H23&lt;&gt;0,(H17-H23)/ABS(H23),0)</f>
        <v>-6.71368421052632</v>
      </c>
    </row>
    <row r="18" customFormat="false" ht="15" hidden="false" customHeight="true" outlineLevel="0" collapsed="false">
      <c r="A18" s="49" t="n">
        <v>10</v>
      </c>
      <c r="B18" s="50" t="n">
        <f aca="false">A18/$B$10</f>
        <v>0.666666666666667</v>
      </c>
      <c r="C18" s="51" t="n">
        <f aca="false">MAX(0,$B$5*(1-$B$6*(A18-$B$10)))</f>
        <v>9000000</v>
      </c>
      <c r="D18" s="52" t="n">
        <f aca="false">A18*C18</f>
        <v>90000000</v>
      </c>
      <c r="E18" s="52" t="n">
        <f aca="false">$B$7*C18</f>
        <v>126000000</v>
      </c>
      <c r="F18" s="52" t="n">
        <f aca="false">D18-E18</f>
        <v>-36000000</v>
      </c>
      <c r="G18" s="52" t="n">
        <f aca="false">D18*$B$9</f>
        <v>7200000</v>
      </c>
      <c r="H18" s="52" t="n">
        <f aca="false">F18-G18-$B$8</f>
        <v>-49200000</v>
      </c>
      <c r="I18" s="53" t="n">
        <f aca="false">IF(D18&gt;0,H18/D18,0)</f>
        <v>-0.546666666666667</v>
      </c>
      <c r="J18" s="54" t="n">
        <f aca="false">IF(H23&lt;&gt;0,(H18-H23)/ABS(H23),0)</f>
        <v>-5.47368421052632</v>
      </c>
    </row>
    <row r="19" customFormat="false" ht="15" hidden="false" customHeight="true" outlineLevel="0" collapsed="false">
      <c r="A19" s="49" t="n">
        <v>11</v>
      </c>
      <c r="B19" s="50" t="n">
        <f aca="false">A19/$B$10</f>
        <v>0.733333333333333</v>
      </c>
      <c r="C19" s="51" t="n">
        <f aca="false">MAX(0,$B$5*(1-$B$6*(A19-$B$10)))</f>
        <v>8800000</v>
      </c>
      <c r="D19" s="52" t="n">
        <f aca="false">A19*C19</f>
        <v>96800000</v>
      </c>
      <c r="E19" s="52" t="n">
        <f aca="false">$B$7*C19</f>
        <v>123200000</v>
      </c>
      <c r="F19" s="52" t="n">
        <f aca="false">D19-E19</f>
        <v>-26400000</v>
      </c>
      <c r="G19" s="52" t="n">
        <f aca="false">D19*$B$9</f>
        <v>7744000</v>
      </c>
      <c r="H19" s="52" t="n">
        <f aca="false">F19-G19-$B$8</f>
        <v>-40144000</v>
      </c>
      <c r="I19" s="53" t="n">
        <f aca="false">IF(D19&gt;0,H19/D19,0)</f>
        <v>-0.414710743801653</v>
      </c>
      <c r="J19" s="54" t="n">
        <f aca="false">IF(H23&lt;&gt;0,(H19-H23)/ABS(H23),0)</f>
        <v>-4.2821052631579</v>
      </c>
    </row>
    <row r="20" customFormat="false" ht="15" hidden="false" customHeight="true" outlineLevel="0" collapsed="false">
      <c r="A20" s="49" t="n">
        <v>12</v>
      </c>
      <c r="B20" s="50" t="n">
        <f aca="false">A20/$B$10</f>
        <v>0.8</v>
      </c>
      <c r="C20" s="51" t="n">
        <f aca="false">MAX(0,$B$5*(1-$B$6*(A20-$B$10)))</f>
        <v>8600000</v>
      </c>
      <c r="D20" s="52" t="n">
        <f aca="false">A20*C20</f>
        <v>103200000</v>
      </c>
      <c r="E20" s="52" t="n">
        <f aca="false">$B$7*C20</f>
        <v>120400000</v>
      </c>
      <c r="F20" s="52" t="n">
        <f aca="false">D20-E20</f>
        <v>-17200000</v>
      </c>
      <c r="G20" s="52" t="n">
        <f aca="false">D20*$B$9</f>
        <v>8256000</v>
      </c>
      <c r="H20" s="52" t="n">
        <f aca="false">F20-G20-$B$8</f>
        <v>-31456000</v>
      </c>
      <c r="I20" s="53" t="n">
        <f aca="false">IF(D20&gt;0,H20/D20,0)</f>
        <v>-0.304806201550388</v>
      </c>
      <c r="J20" s="54" t="n">
        <f aca="false">IF(H23&lt;&gt;0,(H20-H23)/ABS(H23),0)</f>
        <v>-3.13894736842105</v>
      </c>
    </row>
    <row r="21" customFormat="false" ht="15" hidden="false" customHeight="true" outlineLevel="0" collapsed="false">
      <c r="A21" s="55" t="n">
        <v>13</v>
      </c>
      <c r="B21" s="56" t="n">
        <f aca="false">A21/$B$10</f>
        <v>0.866666666666667</v>
      </c>
      <c r="C21" s="57" t="n">
        <f aca="false">MAX(0,$B$5*(1-$B$6*(A21-$B$10)))</f>
        <v>8400000</v>
      </c>
      <c r="D21" s="58" t="n">
        <f aca="false">A21*C21</f>
        <v>109200000</v>
      </c>
      <c r="E21" s="58" t="n">
        <f aca="false">$B$7*C21</f>
        <v>117600000</v>
      </c>
      <c r="F21" s="58" t="n">
        <f aca="false">D21-E21</f>
        <v>-8400000</v>
      </c>
      <c r="G21" s="58" t="n">
        <f aca="false">D21*$B$9</f>
        <v>8736000</v>
      </c>
      <c r="H21" s="58" t="n">
        <f aca="false">F21-G21-$B$8</f>
        <v>-23136000</v>
      </c>
      <c r="I21" s="59" t="n">
        <f aca="false">IF(D21&gt;0,H21/D21,0)</f>
        <v>-0.211868131868132</v>
      </c>
      <c r="J21" s="60" t="n">
        <f aca="false">IF(H23&lt;&gt;0,(H21-H23)/ABS(H23),0)</f>
        <v>-2.04421052631579</v>
      </c>
    </row>
    <row r="22" customFormat="false" ht="15" hidden="false" customHeight="true" outlineLevel="0" collapsed="false">
      <c r="A22" s="55" t="n">
        <v>14</v>
      </c>
      <c r="B22" s="56" t="n">
        <f aca="false">A22/$B$10</f>
        <v>0.933333333333333</v>
      </c>
      <c r="C22" s="57" t="n">
        <f aca="false">MAX(0,$B$5*(1-$B$6*(A22-$B$10)))</f>
        <v>8200000</v>
      </c>
      <c r="D22" s="58" t="n">
        <f aca="false">A22*C22</f>
        <v>114800000</v>
      </c>
      <c r="E22" s="58" t="n">
        <f aca="false">$B$7*C22</f>
        <v>114800000</v>
      </c>
      <c r="F22" s="58" t="n">
        <f aca="false">D22-E22</f>
        <v>0</v>
      </c>
      <c r="G22" s="58" t="n">
        <f aca="false">D22*$B$9</f>
        <v>9184000</v>
      </c>
      <c r="H22" s="58" t="n">
        <f aca="false">F22-G22-$B$8</f>
        <v>-15184000</v>
      </c>
      <c r="I22" s="59" t="n">
        <f aca="false">IF(D22&gt;0,H22/D22,0)</f>
        <v>-0.132264808362369</v>
      </c>
      <c r="J22" s="60" t="n">
        <f aca="false">IF(H23&lt;&gt;0,(H22-H23)/ABS(H23),0)</f>
        <v>-0.997894736842105</v>
      </c>
    </row>
    <row r="23" customFormat="false" ht="15" hidden="false" customHeight="true" outlineLevel="0" collapsed="false">
      <c r="A23" s="61" t="n">
        <v>15</v>
      </c>
      <c r="B23" s="62" t="n">
        <f aca="false">A23/$B$10</f>
        <v>1</v>
      </c>
      <c r="C23" s="63" t="n">
        <f aca="false">MAX(0,$B$5*(1-$B$6*(A23-$B$10)))</f>
        <v>8000000</v>
      </c>
      <c r="D23" s="64" t="n">
        <f aca="false">A23*C23</f>
        <v>120000000</v>
      </c>
      <c r="E23" s="64" t="n">
        <f aca="false">$B$7*C23</f>
        <v>112000000</v>
      </c>
      <c r="F23" s="64" t="n">
        <f aca="false">D23-E23</f>
        <v>8000000</v>
      </c>
      <c r="G23" s="64" t="n">
        <f aca="false">D23*$B$9</f>
        <v>9600000</v>
      </c>
      <c r="H23" s="64" t="n">
        <f aca="false">F23-G23-$B$8</f>
        <v>-7600000</v>
      </c>
      <c r="I23" s="65" t="n">
        <f aca="false">IF(D23&gt;0,H23/D23,0)</f>
        <v>-0.0633333333333333</v>
      </c>
      <c r="J23" s="66" t="n">
        <v>0</v>
      </c>
    </row>
    <row r="24" customFormat="false" ht="15" hidden="false" customHeight="true" outlineLevel="0" collapsed="false">
      <c r="A24" s="55" t="n">
        <v>16</v>
      </c>
      <c r="B24" s="56" t="n">
        <f aca="false">A24/$B$10</f>
        <v>1.06666666666667</v>
      </c>
      <c r="C24" s="57" t="n">
        <f aca="false">MAX(0,$B$5*(1-$B$6*(A24-$B$10)))</f>
        <v>7800000</v>
      </c>
      <c r="D24" s="58" t="n">
        <f aca="false">A24*C24</f>
        <v>124800000</v>
      </c>
      <c r="E24" s="58" t="n">
        <f aca="false">$B$7*C24</f>
        <v>109200000</v>
      </c>
      <c r="F24" s="58" t="n">
        <f aca="false">D24-E24</f>
        <v>15600000</v>
      </c>
      <c r="G24" s="58" t="n">
        <f aca="false">D24*$B$9</f>
        <v>9984000</v>
      </c>
      <c r="H24" s="58" t="n">
        <f aca="false">F24-G24-$B$8</f>
        <v>-384000</v>
      </c>
      <c r="I24" s="59" t="n">
        <f aca="false">IF(D24&gt;0,H24/D24,0)</f>
        <v>-0.00307692307692308</v>
      </c>
      <c r="J24" s="60" t="n">
        <f aca="false">IF(H23&lt;&gt;0,(H24-H23)/ABS(H23),0)</f>
        <v>0.949473684210526</v>
      </c>
    </row>
    <row r="25" customFormat="false" ht="15" hidden="false" customHeight="true" outlineLevel="0" collapsed="false">
      <c r="A25" s="55" t="n">
        <v>17</v>
      </c>
      <c r="B25" s="56" t="n">
        <f aca="false">A25/$B$10</f>
        <v>1.13333333333333</v>
      </c>
      <c r="C25" s="57" t="n">
        <f aca="false">MAX(0,$B$5*(1-$B$6*(A25-$B$10)))</f>
        <v>7600000</v>
      </c>
      <c r="D25" s="58" t="n">
        <f aca="false">A25*C25</f>
        <v>129200000</v>
      </c>
      <c r="E25" s="58" t="n">
        <f aca="false">$B$7*C25</f>
        <v>106400000</v>
      </c>
      <c r="F25" s="58" t="n">
        <f aca="false">D25-E25</f>
        <v>22800000</v>
      </c>
      <c r="G25" s="58" t="n">
        <f aca="false">D25*$B$9</f>
        <v>10336000</v>
      </c>
      <c r="H25" s="58" t="n">
        <f aca="false">F25-G25-$B$8</f>
        <v>6464000</v>
      </c>
      <c r="I25" s="59" t="n">
        <f aca="false">IF(D25&gt;0,H25/D25,0)</f>
        <v>0.050030959752322</v>
      </c>
      <c r="J25" s="60" t="n">
        <f aca="false">IF(H23&lt;&gt;0,(H25-H23)/ABS(H23),0)</f>
        <v>1.85052631578947</v>
      </c>
    </row>
    <row r="26" customFormat="false" ht="15" hidden="false" customHeight="true" outlineLevel="0" collapsed="false">
      <c r="A26" s="49" t="n">
        <v>18</v>
      </c>
      <c r="B26" s="50" t="n">
        <f aca="false">A26/$B$10</f>
        <v>1.2</v>
      </c>
      <c r="C26" s="51" t="n">
        <f aca="false">MAX(0,$B$5*(1-$B$6*(A26-$B$10)))</f>
        <v>7400000</v>
      </c>
      <c r="D26" s="52" t="n">
        <f aca="false">A26*C26</f>
        <v>133200000</v>
      </c>
      <c r="E26" s="52" t="n">
        <f aca="false">$B$7*C26</f>
        <v>103600000</v>
      </c>
      <c r="F26" s="52" t="n">
        <f aca="false">D26-E26</f>
        <v>29600000</v>
      </c>
      <c r="G26" s="52" t="n">
        <f aca="false">D26*$B$9</f>
        <v>10656000</v>
      </c>
      <c r="H26" s="52" t="n">
        <f aca="false">F26-G26-$B$8</f>
        <v>12944000</v>
      </c>
      <c r="I26" s="53" t="n">
        <f aca="false">IF(D26&gt;0,H26/D26,0)</f>
        <v>0.0971771771771772</v>
      </c>
      <c r="J26" s="54" t="n">
        <f aca="false">IF(H23&lt;&gt;0,(H26-H23)/ABS(H23),0)</f>
        <v>2.70315789473684</v>
      </c>
    </row>
    <row r="27" customFormat="false" ht="15" hidden="false" customHeight="true" outlineLevel="0" collapsed="false">
      <c r="A27" s="49" t="n">
        <v>19</v>
      </c>
      <c r="B27" s="50" t="n">
        <f aca="false">A27/$B$10</f>
        <v>1.26666666666667</v>
      </c>
      <c r="C27" s="51" t="n">
        <f aca="false">MAX(0,$B$5*(1-$B$6*(A27-$B$10)))</f>
        <v>7200000</v>
      </c>
      <c r="D27" s="52" t="n">
        <f aca="false">A27*C27</f>
        <v>136800000</v>
      </c>
      <c r="E27" s="52" t="n">
        <f aca="false">$B$7*C27</f>
        <v>100800000</v>
      </c>
      <c r="F27" s="52" t="n">
        <f aca="false">D27-E27</f>
        <v>36000000</v>
      </c>
      <c r="G27" s="52" t="n">
        <f aca="false">D27*$B$9</f>
        <v>10944000</v>
      </c>
      <c r="H27" s="52" t="n">
        <f aca="false">F27-G27-$B$8</f>
        <v>19056000</v>
      </c>
      <c r="I27" s="53" t="n">
        <f aca="false">IF(D27&gt;0,H27/D27,0)</f>
        <v>0.139298245614035</v>
      </c>
      <c r="J27" s="54" t="n">
        <f aca="false">IF(H23&lt;&gt;0,(H27-H23)/ABS(H23),0)</f>
        <v>3.50736842105263</v>
      </c>
    </row>
    <row r="28" customFormat="false" ht="15" hidden="false" customHeight="true" outlineLevel="0" collapsed="false">
      <c r="A28" s="67" t="n">
        <v>20</v>
      </c>
      <c r="B28" s="68" t="n">
        <f aca="false">A28/$B$10</f>
        <v>1.33333333333333</v>
      </c>
      <c r="C28" s="69" t="n">
        <f aca="false">MAX(0,$B$5*(1-$B$6*(A28-$B$10)))</f>
        <v>7000000</v>
      </c>
      <c r="D28" s="70" t="n">
        <f aca="false">A28*C28</f>
        <v>140000000</v>
      </c>
      <c r="E28" s="70" t="n">
        <f aca="false">$B$7*C28</f>
        <v>98000000</v>
      </c>
      <c r="F28" s="70" t="n">
        <f aca="false">D28-E28</f>
        <v>42000000</v>
      </c>
      <c r="G28" s="70" t="n">
        <f aca="false">D28*$B$9</f>
        <v>11200000</v>
      </c>
      <c r="H28" s="70" t="n">
        <f aca="false">F28-G28-$B$8</f>
        <v>24800000</v>
      </c>
      <c r="I28" s="71" t="n">
        <f aca="false">IF(D28&gt;0,H28/D28,0)</f>
        <v>0.177142857142857</v>
      </c>
      <c r="J28" s="72" t="n">
        <f aca="false">IF(H23&lt;&gt;0,(H28-H23)/ABS(H23),0)</f>
        <v>4.26315789473684</v>
      </c>
    </row>
    <row r="29" customFormat="false" ht="15" hidden="false" customHeight="true" outlineLevel="0" collapsed="false">
      <c r="A29" s="49" t="n">
        <v>21</v>
      </c>
      <c r="B29" s="50" t="n">
        <f aca="false">A29/$B$10</f>
        <v>1.4</v>
      </c>
      <c r="C29" s="51" t="n">
        <f aca="false">MAX(0,$B$5*(1-$B$6*(A29-$B$10)))</f>
        <v>6800000</v>
      </c>
      <c r="D29" s="52" t="n">
        <f aca="false">A29*C29</f>
        <v>142800000</v>
      </c>
      <c r="E29" s="52" t="n">
        <f aca="false">$B$7*C29</f>
        <v>95200000</v>
      </c>
      <c r="F29" s="52" t="n">
        <f aca="false">D29-E29</f>
        <v>47600000</v>
      </c>
      <c r="G29" s="52" t="n">
        <f aca="false">D29*$B$9</f>
        <v>11424000</v>
      </c>
      <c r="H29" s="52" t="n">
        <f aca="false">F29-G29-$B$8</f>
        <v>30176000</v>
      </c>
      <c r="I29" s="53" t="n">
        <f aca="false">IF(D29&gt;0,H29/D29,0)</f>
        <v>0.211316526610644</v>
      </c>
      <c r="J29" s="54" t="n">
        <f aca="false">IF(H23&lt;&gt;0,(H29-H23)/ABS(H23),0)</f>
        <v>4.97052631578947</v>
      </c>
    </row>
    <row r="30" customFormat="false" ht="15" hidden="false" customHeight="true" outlineLevel="0" collapsed="false">
      <c r="A30" s="49" t="n">
        <v>22</v>
      </c>
      <c r="B30" s="50" t="n">
        <f aca="false">A30/$B$10</f>
        <v>1.46666666666667</v>
      </c>
      <c r="C30" s="51" t="n">
        <f aca="false">MAX(0,$B$5*(1-$B$6*(A30-$B$10)))</f>
        <v>6600000</v>
      </c>
      <c r="D30" s="52" t="n">
        <f aca="false">A30*C30</f>
        <v>145200000</v>
      </c>
      <c r="E30" s="52" t="n">
        <f aca="false">$B$7*C30</f>
        <v>92400000</v>
      </c>
      <c r="F30" s="52" t="n">
        <f aca="false">D30-E30</f>
        <v>52800000</v>
      </c>
      <c r="G30" s="52" t="n">
        <f aca="false">D30*$B$9</f>
        <v>11616000</v>
      </c>
      <c r="H30" s="52" t="n">
        <f aca="false">F30-G30-$B$8</f>
        <v>35184000</v>
      </c>
      <c r="I30" s="53" t="n">
        <f aca="false">IF(D30&gt;0,H30/D30,0)</f>
        <v>0.242314049586777</v>
      </c>
      <c r="J30" s="54" t="n">
        <f aca="false">IF(H23&lt;&gt;0,(H30-H23)/ABS(H23),0)</f>
        <v>5.62947368421053</v>
      </c>
    </row>
    <row r="31" customFormat="false" ht="15" hidden="false" customHeight="true" outlineLevel="0" collapsed="false">
      <c r="A31" s="49" t="n">
        <v>23</v>
      </c>
      <c r="B31" s="50" t="n">
        <f aca="false">A31/$B$10</f>
        <v>1.53333333333333</v>
      </c>
      <c r="C31" s="51" t="n">
        <f aca="false">MAX(0,$B$5*(1-$B$6*(A31-$B$10)))</f>
        <v>6400000</v>
      </c>
      <c r="D31" s="52" t="n">
        <f aca="false">A31*C31</f>
        <v>147200000</v>
      </c>
      <c r="E31" s="52" t="n">
        <f aca="false">$B$7*C31</f>
        <v>89600000</v>
      </c>
      <c r="F31" s="52" t="n">
        <f aca="false">D31-E31</f>
        <v>57600000</v>
      </c>
      <c r="G31" s="52" t="n">
        <f aca="false">D31*$B$9</f>
        <v>11776000</v>
      </c>
      <c r="H31" s="52" t="n">
        <f aca="false">F31-G31-$B$8</f>
        <v>39824000</v>
      </c>
      <c r="I31" s="53" t="n">
        <f aca="false">IF(D31&gt;0,H31/D31,0)</f>
        <v>0.27054347826087</v>
      </c>
      <c r="J31" s="54" t="n">
        <f aca="false">IF(H23&lt;&gt;0,(H31-H23)/ABS(H23),0)</f>
        <v>6.24</v>
      </c>
    </row>
    <row r="32" customFormat="false" ht="15" hidden="false" customHeight="true" outlineLevel="0" collapsed="false">
      <c r="A32" s="49" t="n">
        <v>24</v>
      </c>
      <c r="B32" s="50" t="n">
        <f aca="false">A32/$B$10</f>
        <v>1.6</v>
      </c>
      <c r="C32" s="51" t="n">
        <f aca="false">MAX(0,$B$5*(1-$B$6*(A32-$B$10)))</f>
        <v>6200000</v>
      </c>
      <c r="D32" s="52" t="n">
        <f aca="false">A32*C32</f>
        <v>148800000</v>
      </c>
      <c r="E32" s="52" t="n">
        <f aca="false">$B$7*C32</f>
        <v>86800000</v>
      </c>
      <c r="F32" s="52" t="n">
        <f aca="false">D32-E32</f>
        <v>62000000</v>
      </c>
      <c r="G32" s="52" t="n">
        <f aca="false">D32*$B$9</f>
        <v>11904000</v>
      </c>
      <c r="H32" s="52" t="n">
        <f aca="false">F32-G32-$B$8</f>
        <v>44096000</v>
      </c>
      <c r="I32" s="53" t="n">
        <f aca="false">IF(D32&gt;0,H32/D32,0)</f>
        <v>0.296344086021505</v>
      </c>
      <c r="J32" s="54" t="n">
        <f aca="false">IF(H23&lt;&gt;0,(H32-H23)/ABS(H23),0)</f>
        <v>6.8021052631579</v>
      </c>
    </row>
    <row r="33" customFormat="false" ht="15" hidden="false" customHeight="true" outlineLevel="0" collapsed="false">
      <c r="A33" s="67" t="n">
        <v>25</v>
      </c>
      <c r="B33" s="68" t="n">
        <f aca="false">A33/$B$10</f>
        <v>1.66666666666667</v>
      </c>
      <c r="C33" s="69" t="n">
        <f aca="false">MAX(0,$B$5*(1-$B$6*(A33-$B$10)))</f>
        <v>6000000</v>
      </c>
      <c r="D33" s="70" t="n">
        <f aca="false">A33*C33</f>
        <v>150000000</v>
      </c>
      <c r="E33" s="70" t="n">
        <f aca="false">$B$7*C33</f>
        <v>84000000</v>
      </c>
      <c r="F33" s="70" t="n">
        <f aca="false">D33-E33</f>
        <v>66000000</v>
      </c>
      <c r="G33" s="70" t="n">
        <f aca="false">D33*$B$9</f>
        <v>12000000</v>
      </c>
      <c r="H33" s="70" t="n">
        <f aca="false">F33-G33-$B$8</f>
        <v>48000000</v>
      </c>
      <c r="I33" s="71" t="n">
        <f aca="false">IF(D33&gt;0,H33/D33,0)</f>
        <v>0.32</v>
      </c>
      <c r="J33" s="72" t="n">
        <f aca="false">IF(H23&lt;&gt;0,(H33-H23)/ABS(H23),0)</f>
        <v>7.31578947368421</v>
      </c>
    </row>
    <row r="34" customFormat="false" ht="15" hidden="false" customHeight="true" outlineLevel="0" collapsed="false">
      <c r="A34" s="49" t="n">
        <v>26</v>
      </c>
      <c r="B34" s="50" t="n">
        <f aca="false">A34/$B$10</f>
        <v>1.73333333333333</v>
      </c>
      <c r="C34" s="51" t="n">
        <f aca="false">MAX(0,$B$5*(1-$B$6*(A34-$B$10)))</f>
        <v>5800000</v>
      </c>
      <c r="D34" s="52" t="n">
        <f aca="false">A34*C34</f>
        <v>150800000</v>
      </c>
      <c r="E34" s="52" t="n">
        <f aca="false">$B$7*C34</f>
        <v>81200000</v>
      </c>
      <c r="F34" s="52" t="n">
        <f aca="false">D34-E34</f>
        <v>69600000</v>
      </c>
      <c r="G34" s="52" t="n">
        <f aca="false">D34*$B$9</f>
        <v>12064000</v>
      </c>
      <c r="H34" s="52" t="n">
        <f aca="false">F34-G34-$B$8</f>
        <v>51536000</v>
      </c>
      <c r="I34" s="53" t="n">
        <f aca="false">IF(D34&gt;0,H34/D34,0)</f>
        <v>0.341750663129974</v>
      </c>
      <c r="J34" s="54" t="n">
        <f aca="false">IF(H23&lt;&gt;0,(H34-H23)/ABS(H23),0)</f>
        <v>7.78105263157895</v>
      </c>
    </row>
    <row r="35" customFormat="false" ht="15" hidden="false" customHeight="true" outlineLevel="0" collapsed="false">
      <c r="A35" s="43" t="n">
        <v>27</v>
      </c>
      <c r="B35" s="44" t="n">
        <f aca="false">A35/$B$10</f>
        <v>1.8</v>
      </c>
      <c r="C35" s="45" t="n">
        <f aca="false">MAX(0,$B$5*(1-$B$6*(A35-$B$10)))</f>
        <v>5600000</v>
      </c>
      <c r="D35" s="46" t="n">
        <f aca="false">A35*C35</f>
        <v>151200000</v>
      </c>
      <c r="E35" s="46" t="n">
        <f aca="false">$B$7*C35</f>
        <v>78400000</v>
      </c>
      <c r="F35" s="46" t="n">
        <f aca="false">D35-E35</f>
        <v>72800000</v>
      </c>
      <c r="G35" s="46" t="n">
        <f aca="false">D35*$B$9</f>
        <v>12096000</v>
      </c>
      <c r="H35" s="46" t="n">
        <f aca="false">F35-G35-$B$8</f>
        <v>54704000</v>
      </c>
      <c r="I35" s="47" t="n">
        <f aca="false">IF(D35&gt;0,H35/D35,0)</f>
        <v>0.361798941798942</v>
      </c>
      <c r="J35" s="48" t="n">
        <f aca="false">IF(H23&lt;&gt;0,(H35-H23)/ABS(H23),0)</f>
        <v>8.19789473684211</v>
      </c>
    </row>
    <row r="36" customFormat="false" ht="15" hidden="false" customHeight="true" outlineLevel="0" collapsed="false">
      <c r="A36" s="43" t="n">
        <v>28</v>
      </c>
      <c r="B36" s="44" t="n">
        <f aca="false">A36/$B$10</f>
        <v>1.86666666666667</v>
      </c>
      <c r="C36" s="45" t="n">
        <f aca="false">MAX(0,$B$5*(1-$B$6*(A36-$B$10)))</f>
        <v>5400000</v>
      </c>
      <c r="D36" s="46" t="n">
        <f aca="false">A36*C36</f>
        <v>151200000</v>
      </c>
      <c r="E36" s="46" t="n">
        <f aca="false">$B$7*C36</f>
        <v>75600000</v>
      </c>
      <c r="F36" s="46" t="n">
        <f aca="false">D36-E36</f>
        <v>75600000</v>
      </c>
      <c r="G36" s="46" t="n">
        <f aca="false">D36*$B$9</f>
        <v>12096000</v>
      </c>
      <c r="H36" s="46" t="n">
        <f aca="false">F36-G36-$B$8</f>
        <v>57504000</v>
      </c>
      <c r="I36" s="47" t="n">
        <f aca="false">IF(D36&gt;0,H36/D36,0)</f>
        <v>0.38031746031746</v>
      </c>
      <c r="J36" s="48" t="n">
        <f aca="false">IF(H23&lt;&gt;0,(H36-H23)/ABS(H23),0)</f>
        <v>8.56631578947368</v>
      </c>
    </row>
    <row r="37" customFormat="false" ht="15" hidden="false" customHeight="true" outlineLevel="0" collapsed="false">
      <c r="A37" s="43" t="n">
        <v>29</v>
      </c>
      <c r="B37" s="44" t="n">
        <f aca="false">A37/$B$10</f>
        <v>1.93333333333333</v>
      </c>
      <c r="C37" s="45" t="n">
        <f aca="false">MAX(0,$B$5*(1-$B$6*(A37-$B$10)))</f>
        <v>5200000</v>
      </c>
      <c r="D37" s="46" t="n">
        <f aca="false">A37*C37</f>
        <v>150800000</v>
      </c>
      <c r="E37" s="46" t="n">
        <f aca="false">$B$7*C37</f>
        <v>72800000</v>
      </c>
      <c r="F37" s="46" t="n">
        <f aca="false">D37-E37</f>
        <v>78000000</v>
      </c>
      <c r="G37" s="46" t="n">
        <f aca="false">D37*$B$9</f>
        <v>12064000</v>
      </c>
      <c r="H37" s="46" t="n">
        <f aca="false">F37-G37-$B$8</f>
        <v>59936000</v>
      </c>
      <c r="I37" s="47" t="n">
        <f aca="false">IF(D37&gt;0,H37/D37,0)</f>
        <v>0.397453580901857</v>
      </c>
      <c r="J37" s="48" t="n">
        <f aca="false">IF(H23&lt;&gt;0,(H37-H23)/ABS(H23),0)</f>
        <v>8.88631578947368</v>
      </c>
    </row>
    <row r="38" customFormat="false" ht="15" hidden="false" customHeight="true" outlineLevel="0" collapsed="false">
      <c r="A38" s="73" t="n">
        <v>30</v>
      </c>
      <c r="B38" s="74" t="n">
        <f aca="false">A38/$B$10</f>
        <v>2</v>
      </c>
      <c r="C38" s="75" t="n">
        <f aca="false">MAX(0,$B$5*(1-$B$6*(A38-$B$10)))</f>
        <v>5000000</v>
      </c>
      <c r="D38" s="76" t="n">
        <f aca="false">A38*C38</f>
        <v>150000000</v>
      </c>
      <c r="E38" s="76" t="n">
        <f aca="false">$B$7*C38</f>
        <v>70000000</v>
      </c>
      <c r="F38" s="76" t="n">
        <f aca="false">D38-E38</f>
        <v>80000000</v>
      </c>
      <c r="G38" s="76" t="n">
        <f aca="false">D38*$B$9</f>
        <v>12000000</v>
      </c>
      <c r="H38" s="76" t="n">
        <f aca="false">F38-G38-$B$8</f>
        <v>62000000</v>
      </c>
      <c r="I38" s="77" t="n">
        <f aca="false">IF(D38&gt;0,H38/D38,0)</f>
        <v>0.413333333333333</v>
      </c>
      <c r="J38" s="78" t="n">
        <f aca="false">IF(H23&lt;&gt;0,(H38-H23)/ABS(H23),0)</f>
        <v>9.1578947368421</v>
      </c>
    </row>
  </sheetData>
  <mergeCells count="4">
    <mergeCell ref="A1:L1"/>
    <mergeCell ref="A2:L2"/>
    <mergeCell ref="A4:E4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8" min="2" style="1" width="13"/>
    <col collapsed="false" customWidth="true" hidden="false" outlineLevel="0" max="9" min="9" style="1" width="14"/>
    <col collapsed="false" customWidth="true" hidden="false" outlineLevel="0" max="10" min="10" style="1" width="16"/>
  </cols>
  <sheetData>
    <row r="1" customFormat="false" ht="37.5" hidden="false" customHeight="true" outlineLevel="0" collapsed="false">
      <c r="A1" s="31" t="s">
        <v>64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21.75" hidden="false" customHeight="true" outlineLevel="0" collapsed="false">
      <c r="A2" s="32" t="s">
        <v>65</v>
      </c>
      <c r="B2" s="32"/>
      <c r="C2" s="32"/>
      <c r="D2" s="32"/>
      <c r="E2" s="32"/>
      <c r="F2" s="32"/>
      <c r="G2" s="32"/>
      <c r="H2" s="32"/>
      <c r="I2" s="32"/>
      <c r="J2" s="32"/>
    </row>
    <row r="4" customFormat="false" ht="27.75" hidden="false" customHeight="true" outlineLevel="0" collapsed="false">
      <c r="A4" s="79" t="s">
        <v>66</v>
      </c>
      <c r="B4" s="79"/>
      <c r="C4" s="79"/>
      <c r="D4" s="79"/>
      <c r="E4" s="79"/>
      <c r="F4" s="79"/>
      <c r="G4" s="79"/>
      <c r="H4" s="79"/>
      <c r="I4" s="79"/>
      <c r="J4" s="79"/>
    </row>
    <row r="5" customFormat="false" ht="36" hidden="false" customHeight="true" outlineLevel="0" collapsed="false">
      <c r="A5" s="40" t="s">
        <v>67</v>
      </c>
      <c r="B5" s="41" t="s">
        <v>68</v>
      </c>
      <c r="C5" s="41" t="s">
        <v>69</v>
      </c>
      <c r="D5" s="41" t="s">
        <v>70</v>
      </c>
      <c r="E5" s="41" t="s">
        <v>71</v>
      </c>
      <c r="F5" s="41" t="s">
        <v>72</v>
      </c>
      <c r="G5" s="41" t="s">
        <v>73</v>
      </c>
      <c r="H5" s="41" t="s">
        <v>74</v>
      </c>
      <c r="I5" s="41" t="s">
        <v>75</v>
      </c>
      <c r="J5" s="42" t="s">
        <v>76</v>
      </c>
    </row>
    <row r="6" customFormat="false" ht="19.5" hidden="false" customHeight="true" outlineLevel="0" collapsed="false">
      <c r="A6" s="80" t="s">
        <v>77</v>
      </c>
      <c r="B6" s="81" t="s">
        <v>78</v>
      </c>
      <c r="C6" s="81" t="s">
        <v>79</v>
      </c>
      <c r="D6" s="81" t="s">
        <v>80</v>
      </c>
      <c r="E6" s="81" t="s">
        <v>81</v>
      </c>
      <c r="F6" s="81" t="s">
        <v>82</v>
      </c>
      <c r="G6" s="81" t="s">
        <v>83</v>
      </c>
      <c r="H6" s="81" t="s">
        <v>84</v>
      </c>
      <c r="I6" s="81" t="s">
        <v>85</v>
      </c>
      <c r="J6" s="82" t="s">
        <v>86</v>
      </c>
    </row>
    <row r="7" customFormat="false" ht="19.5" hidden="false" customHeight="true" outlineLevel="0" collapsed="false">
      <c r="A7" s="80" t="s">
        <v>87</v>
      </c>
      <c r="B7" s="81" t="s">
        <v>88</v>
      </c>
      <c r="C7" s="81" t="s">
        <v>89</v>
      </c>
      <c r="D7" s="81" t="s">
        <v>90</v>
      </c>
      <c r="E7" s="81" t="s">
        <v>91</v>
      </c>
      <c r="F7" s="81" t="s">
        <v>92</v>
      </c>
      <c r="G7" s="81" t="s">
        <v>93</v>
      </c>
      <c r="H7" s="81" t="s">
        <v>94</v>
      </c>
      <c r="I7" s="81" t="s">
        <v>95</v>
      </c>
      <c r="J7" s="82" t="s">
        <v>86</v>
      </c>
    </row>
    <row r="8" customFormat="false" ht="19.5" hidden="false" customHeight="true" outlineLevel="0" collapsed="false">
      <c r="A8" s="80" t="s">
        <v>96</v>
      </c>
      <c r="B8" s="81" t="s">
        <v>97</v>
      </c>
      <c r="C8" s="81" t="s">
        <v>98</v>
      </c>
      <c r="D8" s="81" t="s">
        <v>99</v>
      </c>
      <c r="E8" s="81" t="s">
        <v>100</v>
      </c>
      <c r="F8" s="81" t="s">
        <v>101</v>
      </c>
      <c r="G8" s="81" t="s">
        <v>102</v>
      </c>
      <c r="H8" s="81" t="s">
        <v>103</v>
      </c>
      <c r="I8" s="81" t="s">
        <v>104</v>
      </c>
      <c r="J8" s="82" t="s">
        <v>86</v>
      </c>
    </row>
    <row r="9" customFormat="false" ht="19.5" hidden="false" customHeight="true" outlineLevel="0" collapsed="false">
      <c r="A9" s="83" t="s">
        <v>105</v>
      </c>
      <c r="B9" s="84" t="s">
        <v>106</v>
      </c>
      <c r="C9" s="84" t="s">
        <v>107</v>
      </c>
      <c r="D9" s="84" t="s">
        <v>108</v>
      </c>
      <c r="E9" s="84" t="s">
        <v>109</v>
      </c>
      <c r="F9" s="84" t="s">
        <v>110</v>
      </c>
      <c r="G9" s="84" t="s">
        <v>111</v>
      </c>
      <c r="H9" s="84" t="s">
        <v>112</v>
      </c>
      <c r="I9" s="84" t="s">
        <v>113</v>
      </c>
      <c r="J9" s="85" t="s">
        <v>114</v>
      </c>
    </row>
    <row r="10" customFormat="false" ht="19.5" hidden="false" customHeight="true" outlineLevel="0" collapsed="false">
      <c r="A10" s="83" t="s">
        <v>115</v>
      </c>
      <c r="B10" s="84" t="s">
        <v>116</v>
      </c>
      <c r="C10" s="84" t="s">
        <v>117</v>
      </c>
      <c r="D10" s="84" t="s">
        <v>118</v>
      </c>
      <c r="E10" s="84" t="s">
        <v>119</v>
      </c>
      <c r="F10" s="84" t="s">
        <v>120</v>
      </c>
      <c r="G10" s="84" t="s">
        <v>121</v>
      </c>
      <c r="H10" s="84" t="s">
        <v>122</v>
      </c>
      <c r="I10" s="84" t="s">
        <v>123</v>
      </c>
      <c r="J10" s="85" t="s">
        <v>114</v>
      </c>
    </row>
    <row r="11" customFormat="false" ht="19.5" hidden="false" customHeight="true" outlineLevel="0" collapsed="false">
      <c r="A11" s="83" t="s">
        <v>124</v>
      </c>
      <c r="B11" s="84" t="s">
        <v>125</v>
      </c>
      <c r="C11" s="84" t="s">
        <v>126</v>
      </c>
      <c r="D11" s="84" t="s">
        <v>127</v>
      </c>
      <c r="E11" s="84" t="s">
        <v>120</v>
      </c>
      <c r="F11" s="84" t="s">
        <v>128</v>
      </c>
      <c r="G11" s="84" t="s">
        <v>129</v>
      </c>
      <c r="H11" s="84" t="s">
        <v>130</v>
      </c>
      <c r="I11" s="84" t="s">
        <v>131</v>
      </c>
      <c r="J11" s="85" t="s">
        <v>114</v>
      </c>
    </row>
    <row r="12" customFormat="false" ht="19.5" hidden="false" customHeight="true" outlineLevel="0" collapsed="false">
      <c r="A12" s="86" t="s">
        <v>132</v>
      </c>
      <c r="B12" s="87" t="s">
        <v>133</v>
      </c>
      <c r="C12" s="87" t="s">
        <v>134</v>
      </c>
      <c r="D12" s="87" t="s">
        <v>135</v>
      </c>
      <c r="E12" s="87" t="s">
        <v>101</v>
      </c>
      <c r="F12" s="87" t="s">
        <v>119</v>
      </c>
      <c r="G12" s="87" t="s">
        <v>136</v>
      </c>
      <c r="H12" s="87" t="s">
        <v>137</v>
      </c>
      <c r="I12" s="87" t="s">
        <v>134</v>
      </c>
      <c r="J12" s="88" t="s">
        <v>138</v>
      </c>
    </row>
    <row r="13" customFormat="false" ht="19.5" hidden="false" customHeight="true" outlineLevel="0" collapsed="false">
      <c r="A13" s="89" t="s">
        <v>139</v>
      </c>
      <c r="B13" s="90" t="s">
        <v>140</v>
      </c>
      <c r="C13" s="90" t="s">
        <v>141</v>
      </c>
      <c r="D13" s="90" t="s">
        <v>142</v>
      </c>
      <c r="E13" s="90" t="s">
        <v>143</v>
      </c>
      <c r="F13" s="90" t="s">
        <v>144</v>
      </c>
      <c r="G13" s="90" t="s">
        <v>145</v>
      </c>
      <c r="H13" s="90" t="s">
        <v>146</v>
      </c>
      <c r="I13" s="90" t="s">
        <v>147</v>
      </c>
      <c r="J13" s="91" t="s">
        <v>138</v>
      </c>
    </row>
    <row r="14" customFormat="false" ht="19.5" hidden="false" customHeight="true" outlineLevel="0" collapsed="false">
      <c r="A14" s="89" t="s">
        <v>148</v>
      </c>
      <c r="B14" s="90" t="s">
        <v>149</v>
      </c>
      <c r="C14" s="90" t="s">
        <v>150</v>
      </c>
      <c r="D14" s="90" t="s">
        <v>151</v>
      </c>
      <c r="E14" s="90" t="s">
        <v>152</v>
      </c>
      <c r="F14" s="90" t="s">
        <v>109</v>
      </c>
      <c r="G14" s="90" t="s">
        <v>153</v>
      </c>
      <c r="H14" s="90" t="s">
        <v>154</v>
      </c>
      <c r="I14" s="90" t="s">
        <v>155</v>
      </c>
      <c r="J14" s="91" t="s">
        <v>138</v>
      </c>
    </row>
    <row r="15" customFormat="false" ht="19.5" hidden="false" customHeight="true" outlineLevel="0" collapsed="false">
      <c r="A15" s="83" t="s">
        <v>156</v>
      </c>
      <c r="B15" s="84" t="s">
        <v>157</v>
      </c>
      <c r="C15" s="84" t="s">
        <v>158</v>
      </c>
      <c r="D15" s="84" t="s">
        <v>159</v>
      </c>
      <c r="E15" s="84" t="s">
        <v>160</v>
      </c>
      <c r="F15" s="84" t="s">
        <v>161</v>
      </c>
      <c r="G15" s="84" t="s">
        <v>162</v>
      </c>
      <c r="H15" s="84" t="s">
        <v>163</v>
      </c>
      <c r="I15" s="84" t="s">
        <v>164</v>
      </c>
      <c r="J15" s="85" t="s">
        <v>165</v>
      </c>
    </row>
    <row r="16" customFormat="false" ht="19.5" hidden="false" customHeight="true" outlineLevel="0" collapsed="false">
      <c r="A16" s="83" t="s">
        <v>166</v>
      </c>
      <c r="B16" s="84" t="s">
        <v>167</v>
      </c>
      <c r="C16" s="84" t="s">
        <v>168</v>
      </c>
      <c r="D16" s="84" t="s">
        <v>169</v>
      </c>
      <c r="E16" s="84" t="s">
        <v>170</v>
      </c>
      <c r="F16" s="84" t="s">
        <v>171</v>
      </c>
      <c r="G16" s="84" t="s">
        <v>172</v>
      </c>
      <c r="H16" s="84" t="s">
        <v>173</v>
      </c>
      <c r="I16" s="84" t="s">
        <v>174</v>
      </c>
      <c r="J16" s="85" t="s">
        <v>165</v>
      </c>
    </row>
    <row r="17" customFormat="false" ht="19.5" hidden="false" customHeight="true" outlineLevel="0" collapsed="false">
      <c r="A17" s="80" t="s">
        <v>175</v>
      </c>
      <c r="B17" s="81" t="s">
        <v>176</v>
      </c>
      <c r="C17" s="81" t="s">
        <v>177</v>
      </c>
      <c r="D17" s="81" t="s">
        <v>178</v>
      </c>
      <c r="E17" s="81" t="s">
        <v>179</v>
      </c>
      <c r="F17" s="81" t="s">
        <v>180</v>
      </c>
      <c r="G17" s="81" t="s">
        <v>181</v>
      </c>
      <c r="H17" s="81" t="s">
        <v>182</v>
      </c>
      <c r="I17" s="81" t="s">
        <v>183</v>
      </c>
      <c r="J17" s="82" t="s">
        <v>184</v>
      </c>
    </row>
    <row r="18" customFormat="false" ht="19.5" hidden="false" customHeight="true" outlineLevel="0" collapsed="false">
      <c r="A18" s="92" t="s">
        <v>185</v>
      </c>
      <c r="B18" s="93" t="s">
        <v>186</v>
      </c>
      <c r="C18" s="93" t="s">
        <v>187</v>
      </c>
      <c r="D18" s="93" t="s">
        <v>188</v>
      </c>
      <c r="E18" s="93" t="s">
        <v>189</v>
      </c>
      <c r="F18" s="93" t="s">
        <v>190</v>
      </c>
      <c r="G18" s="93" t="s">
        <v>191</v>
      </c>
      <c r="H18" s="93" t="s">
        <v>192</v>
      </c>
      <c r="I18" s="93" t="s">
        <v>193</v>
      </c>
      <c r="J18" s="94" t="s">
        <v>184</v>
      </c>
    </row>
    <row r="22" customFormat="false" ht="27.75" hidden="false" customHeight="true" outlineLevel="0" collapsed="false">
      <c r="A22" s="79" t="s">
        <v>194</v>
      </c>
      <c r="B22" s="79"/>
      <c r="C22" s="79"/>
      <c r="D22" s="79"/>
      <c r="E22" s="79"/>
      <c r="F22" s="79"/>
      <c r="G22" s="79"/>
      <c r="H22" s="79"/>
      <c r="I22" s="79"/>
      <c r="J22" s="79"/>
    </row>
    <row r="23" customFormat="false" ht="21.75" hidden="false" customHeight="true" outlineLevel="0" collapsed="false">
      <c r="A23" s="95" t="s">
        <v>195</v>
      </c>
      <c r="B23" s="96" t="s">
        <v>196</v>
      </c>
      <c r="C23" s="96" t="s">
        <v>197</v>
      </c>
      <c r="D23" s="96" t="s">
        <v>198</v>
      </c>
      <c r="E23" s="96" t="s">
        <v>199</v>
      </c>
      <c r="F23" s="96" t="s">
        <v>200</v>
      </c>
      <c r="G23" s="96" t="s">
        <v>201</v>
      </c>
      <c r="H23" s="97" t="s">
        <v>202</v>
      </c>
    </row>
    <row r="24" customFormat="false" ht="18" hidden="false" customHeight="true" outlineLevel="0" collapsed="false">
      <c r="A24" s="98" t="s">
        <v>203</v>
      </c>
      <c r="B24" s="99" t="n">
        <v>-4.6</v>
      </c>
      <c r="C24" s="99" t="n">
        <v>-4.7</v>
      </c>
      <c r="D24" s="99" t="n">
        <v>-4.8</v>
      </c>
      <c r="E24" s="99" t="n">
        <v>-4.9</v>
      </c>
      <c r="F24" s="99" t="n">
        <v>-5</v>
      </c>
      <c r="G24" s="99" t="n">
        <v>-5.1</v>
      </c>
      <c r="H24" s="100" t="n">
        <v>-5.2</v>
      </c>
    </row>
    <row r="25" customFormat="false" ht="18" hidden="false" customHeight="true" outlineLevel="0" collapsed="false">
      <c r="A25" s="98" t="s">
        <v>204</v>
      </c>
      <c r="B25" s="99" t="n">
        <v>-3</v>
      </c>
      <c r="C25" s="99" t="n">
        <v>-3.1</v>
      </c>
      <c r="D25" s="99" t="n">
        <v>-3.1</v>
      </c>
      <c r="E25" s="99" t="n">
        <v>-3.1</v>
      </c>
      <c r="F25" s="99" t="n">
        <v>-3.2</v>
      </c>
      <c r="G25" s="99" t="n">
        <v>-3.2</v>
      </c>
      <c r="H25" s="100" t="n">
        <v>-3.3</v>
      </c>
    </row>
    <row r="26" customFormat="false" ht="18" hidden="false" customHeight="true" outlineLevel="0" collapsed="false">
      <c r="A26" s="98" t="s">
        <v>205</v>
      </c>
      <c r="B26" s="99" t="n">
        <v>-1.5</v>
      </c>
      <c r="C26" s="99" t="n">
        <v>-1.5</v>
      </c>
      <c r="D26" s="99" t="n">
        <v>-1.5</v>
      </c>
      <c r="E26" s="99" t="n">
        <v>-1.5</v>
      </c>
      <c r="F26" s="99" t="n">
        <v>-1.5</v>
      </c>
      <c r="G26" s="99" t="n">
        <v>-1.5</v>
      </c>
      <c r="H26" s="100" t="n">
        <v>-1.5</v>
      </c>
    </row>
    <row r="27" customFormat="false" ht="18" hidden="false" customHeight="true" outlineLevel="0" collapsed="false">
      <c r="A27" s="86" t="s">
        <v>206</v>
      </c>
      <c r="B27" s="99" t="n">
        <v>-0.8</v>
      </c>
      <c r="C27" s="99" t="n">
        <v>-0.8</v>
      </c>
      <c r="D27" s="99" t="n">
        <v>-0.8</v>
      </c>
      <c r="E27" s="101" t="n">
        <v>-0.8</v>
      </c>
      <c r="F27" s="99" t="n">
        <v>-0.8</v>
      </c>
      <c r="G27" s="99" t="n">
        <v>-0.8</v>
      </c>
      <c r="H27" s="100" t="n">
        <v>-0.8</v>
      </c>
    </row>
    <row r="28" customFormat="false" ht="18" hidden="false" customHeight="true" outlineLevel="0" collapsed="false">
      <c r="A28" s="98" t="s">
        <v>207</v>
      </c>
      <c r="B28" s="99" t="n">
        <v>0</v>
      </c>
      <c r="C28" s="99" t="n">
        <v>0</v>
      </c>
      <c r="D28" s="99" t="n">
        <v>0</v>
      </c>
      <c r="E28" s="99" t="n">
        <v>0</v>
      </c>
      <c r="F28" s="99" t="n">
        <v>0</v>
      </c>
      <c r="G28" s="99" t="n">
        <v>0</v>
      </c>
      <c r="H28" s="100" t="n">
        <v>0</v>
      </c>
    </row>
    <row r="29" customFormat="false" ht="18" hidden="false" customHeight="true" outlineLevel="0" collapsed="false">
      <c r="A29" s="98" t="s">
        <v>208</v>
      </c>
      <c r="B29" s="99" t="n">
        <v>0.7</v>
      </c>
      <c r="C29" s="99" t="n">
        <v>0.7</v>
      </c>
      <c r="D29" s="99" t="n">
        <v>0.7</v>
      </c>
      <c r="E29" s="99" t="n">
        <v>0.6</v>
      </c>
      <c r="F29" s="99" t="n">
        <v>0.6</v>
      </c>
      <c r="G29" s="99" t="n">
        <v>0.6</v>
      </c>
      <c r="H29" s="100" t="n">
        <v>0.6</v>
      </c>
    </row>
    <row r="30" customFormat="false" ht="18" hidden="false" customHeight="true" outlineLevel="0" collapsed="false">
      <c r="A30" s="98" t="s">
        <v>209</v>
      </c>
      <c r="B30" s="99" t="n">
        <v>1.4</v>
      </c>
      <c r="C30" s="99" t="n">
        <v>1.4</v>
      </c>
      <c r="D30" s="99" t="n">
        <v>1.3</v>
      </c>
      <c r="E30" s="99" t="n">
        <v>1.3</v>
      </c>
      <c r="F30" s="99" t="n">
        <v>1.3</v>
      </c>
      <c r="G30" s="99" t="n">
        <v>1.2</v>
      </c>
      <c r="H30" s="100" t="n">
        <v>1.2</v>
      </c>
    </row>
    <row r="31" customFormat="false" ht="18" hidden="false" customHeight="true" outlineLevel="0" collapsed="false">
      <c r="A31" s="98" t="s">
        <v>210</v>
      </c>
      <c r="B31" s="102" t="n">
        <v>2.7</v>
      </c>
      <c r="C31" s="102" t="n">
        <v>2.7</v>
      </c>
      <c r="D31" s="102" t="n">
        <v>2.6</v>
      </c>
      <c r="E31" s="102" t="n">
        <v>2.5</v>
      </c>
      <c r="F31" s="102" t="n">
        <v>2.4</v>
      </c>
      <c r="G31" s="102" t="n">
        <v>2.3</v>
      </c>
      <c r="H31" s="103" t="n">
        <v>2.2</v>
      </c>
    </row>
    <row r="32" customFormat="false" ht="18" hidden="false" customHeight="true" outlineLevel="0" collapsed="false">
      <c r="A32" s="98" t="s">
        <v>211</v>
      </c>
      <c r="B32" s="102" t="n">
        <v>4</v>
      </c>
      <c r="C32" s="102" t="n">
        <v>3.9</v>
      </c>
      <c r="D32" s="102" t="n">
        <v>3.7</v>
      </c>
      <c r="E32" s="102" t="n">
        <v>3.5</v>
      </c>
      <c r="F32" s="102" t="n">
        <v>3.3</v>
      </c>
      <c r="G32" s="102" t="n">
        <v>3.2</v>
      </c>
      <c r="H32" s="103" t="n">
        <v>3</v>
      </c>
    </row>
    <row r="33" customFormat="false" ht="18" hidden="false" customHeight="true" outlineLevel="0" collapsed="false">
      <c r="A33" s="104" t="s">
        <v>212</v>
      </c>
      <c r="B33" s="105" t="n">
        <v>5.9</v>
      </c>
      <c r="C33" s="105" t="n">
        <v>5.5</v>
      </c>
      <c r="D33" s="105" t="n">
        <v>5.2</v>
      </c>
      <c r="E33" s="106" t="n">
        <v>4.8</v>
      </c>
      <c r="F33" s="106" t="n">
        <v>4.4</v>
      </c>
      <c r="G33" s="106" t="n">
        <v>4.1</v>
      </c>
      <c r="H33" s="107" t="n">
        <v>3.7</v>
      </c>
    </row>
    <row r="36" customFormat="false" ht="15" hidden="false" customHeight="true" outlineLevel="0" collapsed="false">
      <c r="A36" s="4" t="s">
        <v>213</v>
      </c>
      <c r="B36" s="4"/>
      <c r="C36" s="4"/>
      <c r="D36" s="4"/>
      <c r="E36" s="4"/>
      <c r="F36" s="4"/>
      <c r="G36" s="4"/>
      <c r="H36" s="4"/>
      <c r="I36" s="4"/>
      <c r="J36" s="4"/>
    </row>
    <row r="37" customFormat="false" ht="24" hidden="false" customHeight="true" outlineLevel="0" collapsed="false">
      <c r="A37" s="108" t="s">
        <v>214</v>
      </c>
      <c r="B37" s="108"/>
      <c r="C37" s="108"/>
      <c r="D37" s="108"/>
      <c r="E37" s="108"/>
      <c r="F37" s="108"/>
      <c r="G37" s="108"/>
      <c r="H37" s="108"/>
      <c r="I37" s="108"/>
      <c r="J37" s="108"/>
    </row>
    <row r="38" customFormat="false" ht="24" hidden="false" customHeight="true" outlineLevel="0" collapsed="false">
      <c r="A38" s="25" t="s">
        <v>215</v>
      </c>
      <c r="B38" s="25"/>
      <c r="C38" s="25"/>
      <c r="D38" s="25"/>
      <c r="E38" s="25"/>
      <c r="F38" s="25"/>
      <c r="G38" s="25"/>
      <c r="H38" s="25"/>
      <c r="I38" s="25"/>
      <c r="J38" s="25"/>
    </row>
    <row r="39" customFormat="false" ht="24" hidden="false" customHeight="true" outlineLevel="0" collapsed="false">
      <c r="A39" s="25" t="s">
        <v>216</v>
      </c>
      <c r="B39" s="25"/>
      <c r="C39" s="25"/>
      <c r="D39" s="25"/>
      <c r="E39" s="25"/>
      <c r="F39" s="25"/>
      <c r="G39" s="25"/>
      <c r="H39" s="25"/>
      <c r="I39" s="25"/>
      <c r="J39" s="25"/>
    </row>
    <row r="40" customFormat="false" ht="24" hidden="false" customHeight="true" outlineLevel="0" collapsed="false">
      <c r="A40" s="25" t="s">
        <v>217</v>
      </c>
      <c r="B40" s="25"/>
      <c r="C40" s="25"/>
      <c r="D40" s="25"/>
      <c r="E40" s="25"/>
      <c r="F40" s="25"/>
      <c r="G40" s="25"/>
      <c r="H40" s="25"/>
      <c r="I40" s="25"/>
      <c r="J40" s="25"/>
    </row>
    <row r="41" customFormat="false" ht="24" hidden="false" customHeight="true" outlineLevel="0" collapsed="false">
      <c r="A41" s="108" t="s">
        <v>218</v>
      </c>
      <c r="B41" s="108"/>
      <c r="C41" s="108"/>
      <c r="D41" s="108"/>
      <c r="E41" s="108"/>
      <c r="F41" s="108"/>
      <c r="G41" s="108"/>
      <c r="H41" s="108"/>
      <c r="I41" s="108"/>
      <c r="J41" s="108"/>
    </row>
  </sheetData>
  <mergeCells count="10">
    <mergeCell ref="A1:J1"/>
    <mergeCell ref="A2:J2"/>
    <mergeCell ref="A4:J4"/>
    <mergeCell ref="A22:J22"/>
    <mergeCell ref="A36:J36"/>
    <mergeCell ref="A37:J37"/>
    <mergeCell ref="A38:J38"/>
    <mergeCell ref="A39:J39"/>
    <mergeCell ref="A40:J40"/>
    <mergeCell ref="A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10" min="7" style="1" width="12"/>
    <col collapsed="false" customWidth="true" hidden="false" outlineLevel="0" max="11" min="11" style="1" width="20"/>
  </cols>
  <sheetData>
    <row r="1" customFormat="false" ht="37.5" hidden="false" customHeight="true" outlineLevel="0" collapsed="false">
      <c r="A1" s="31" t="s">
        <v>219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21.75" hidden="false" customHeight="true" outlineLevel="0" collapsed="false">
      <c r="A2" s="32" t="s">
        <v>220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4" customFormat="false" ht="27.75" hidden="false" customHeight="true" outlineLevel="0" collapsed="false">
      <c r="A4" s="79" t="s">
        <v>221</v>
      </c>
      <c r="B4" s="79"/>
      <c r="C4" s="79"/>
      <c r="D4" s="79"/>
      <c r="E4" s="79"/>
      <c r="F4" s="79"/>
      <c r="G4" s="79"/>
      <c r="H4" s="79"/>
      <c r="I4" s="79"/>
      <c r="J4" s="79"/>
      <c r="K4" s="79"/>
    </row>
    <row r="5" customFormat="false" ht="36" hidden="false" customHeight="true" outlineLevel="0" collapsed="false">
      <c r="A5" s="40" t="s">
        <v>222</v>
      </c>
      <c r="B5" s="41" t="s">
        <v>223</v>
      </c>
      <c r="C5" s="41" t="s">
        <v>224</v>
      </c>
      <c r="D5" s="41" t="s">
        <v>71</v>
      </c>
      <c r="E5" s="41" t="s">
        <v>72</v>
      </c>
      <c r="F5" s="41" t="s">
        <v>225</v>
      </c>
      <c r="G5" s="41" t="s">
        <v>226</v>
      </c>
      <c r="H5" s="41" t="s">
        <v>73</v>
      </c>
      <c r="I5" s="41" t="s">
        <v>74</v>
      </c>
      <c r="J5" s="41" t="s">
        <v>227</v>
      </c>
      <c r="K5" s="42" t="s">
        <v>228</v>
      </c>
    </row>
    <row r="6" customFormat="false" ht="30" hidden="false" customHeight="true" outlineLevel="0" collapsed="false">
      <c r="A6" s="109" t="s">
        <v>229</v>
      </c>
      <c r="B6" s="46" t="n">
        <v>10</v>
      </c>
      <c r="C6" s="45" t="n">
        <f aca="false">8000000*(1-0.025*(B6-15))</f>
        <v>9000000</v>
      </c>
      <c r="D6" s="110" t="n">
        <f aca="false">B6*C6/10000000</f>
        <v>9</v>
      </c>
      <c r="E6" s="110" t="n">
        <f aca="false">14*C6/10000000</f>
        <v>12.6</v>
      </c>
      <c r="F6" s="110" t="n">
        <f aca="false">D6-E6</f>
        <v>-3.6</v>
      </c>
      <c r="G6" s="110" t="n">
        <f aca="false">D6*0.08</f>
        <v>0.72</v>
      </c>
      <c r="H6" s="110" t="n">
        <f aca="false">F6-G6-0.6</f>
        <v>-4.92</v>
      </c>
      <c r="I6" s="47" t="n">
        <f aca="false">IF(D6&gt;0,H6/D6,0)</f>
        <v>-0.546666666666667</v>
      </c>
      <c r="J6" s="111" t="s">
        <v>230</v>
      </c>
      <c r="K6" s="112" t="s">
        <v>231</v>
      </c>
    </row>
    <row r="7" customFormat="false" ht="30" hidden="false" customHeight="true" outlineLevel="0" collapsed="false">
      <c r="A7" s="113" t="s">
        <v>232</v>
      </c>
      <c r="B7" s="114" t="n">
        <v>15</v>
      </c>
      <c r="C7" s="115" t="n">
        <f aca="false">8000000*(1-0.025*(B7-15))</f>
        <v>8000000</v>
      </c>
      <c r="D7" s="116" t="n">
        <f aca="false">B7*C7/10000000</f>
        <v>12</v>
      </c>
      <c r="E7" s="116" t="n">
        <f aca="false">14*C7/10000000</f>
        <v>11.2</v>
      </c>
      <c r="F7" s="116" t="n">
        <f aca="false">D7-E7</f>
        <v>0.800000000000001</v>
      </c>
      <c r="G7" s="116" t="n">
        <f aca="false">D7*0.08</f>
        <v>0.96</v>
      </c>
      <c r="H7" s="116" t="n">
        <f aca="false">F7-G7-0.6</f>
        <v>-0.759999999999999</v>
      </c>
      <c r="I7" s="117" t="n">
        <f aca="false">IF(D7&gt;0,H7/D7,0)</f>
        <v>-0.0633333333333333</v>
      </c>
      <c r="J7" s="118" t="s">
        <v>233</v>
      </c>
      <c r="K7" s="119" t="s">
        <v>234</v>
      </c>
    </row>
    <row r="8" customFormat="false" ht="30" hidden="false" customHeight="true" outlineLevel="0" collapsed="false">
      <c r="A8" s="120" t="s">
        <v>235</v>
      </c>
      <c r="B8" s="58" t="n">
        <v>25</v>
      </c>
      <c r="C8" s="57" t="n">
        <f aca="false">8000000*(1-0.025*(B8-15))</f>
        <v>6000000</v>
      </c>
      <c r="D8" s="121" t="n">
        <f aca="false">B8*C8/10000000</f>
        <v>15</v>
      </c>
      <c r="E8" s="121" t="n">
        <f aca="false">14*C8/10000000</f>
        <v>8.4</v>
      </c>
      <c r="F8" s="121" t="n">
        <f aca="false">D8-E8</f>
        <v>6.6</v>
      </c>
      <c r="G8" s="121" t="n">
        <f aca="false">D8*0.08</f>
        <v>1.2</v>
      </c>
      <c r="H8" s="121" t="n">
        <f aca="false">F8-G8-0.6</f>
        <v>4.8</v>
      </c>
      <c r="I8" s="59" t="n">
        <f aca="false">IF(D8&gt;0,H8/D8,0)</f>
        <v>0.32</v>
      </c>
      <c r="J8" s="122" t="s">
        <v>236</v>
      </c>
      <c r="K8" s="123" t="s">
        <v>237</v>
      </c>
    </row>
    <row r="9" customFormat="false" ht="30" hidden="false" customHeight="true" outlineLevel="0" collapsed="false">
      <c r="A9" s="124" t="s">
        <v>238</v>
      </c>
      <c r="B9" s="125" t="n">
        <v>17</v>
      </c>
      <c r="C9" s="126" t="n">
        <f aca="false">8000000*(1-0.025*(B9-15))</f>
        <v>7600000</v>
      </c>
      <c r="D9" s="127" t="n">
        <f aca="false">B9*C9/10000000</f>
        <v>12.92</v>
      </c>
      <c r="E9" s="127" t="n">
        <f aca="false">14*C9/10000000</f>
        <v>10.64</v>
      </c>
      <c r="F9" s="127" t="n">
        <f aca="false">D9-E9</f>
        <v>2.28</v>
      </c>
      <c r="G9" s="127" t="n">
        <f aca="false">D9*0.08</f>
        <v>1.0336</v>
      </c>
      <c r="H9" s="127" t="n">
        <f aca="false">F9-G9-0.6</f>
        <v>0.646399999999999</v>
      </c>
      <c r="I9" s="128" t="n">
        <f aca="false">IF(D9&gt;0,H9/D9,0)</f>
        <v>0.0500309597523219</v>
      </c>
      <c r="J9" s="129" t="s">
        <v>236</v>
      </c>
      <c r="K9" s="130" t="s">
        <v>239</v>
      </c>
    </row>
    <row r="10" customFormat="false" ht="30" hidden="false" customHeight="true" outlineLevel="0" collapsed="false">
      <c r="A10" s="131" t="s">
        <v>240</v>
      </c>
      <c r="B10" s="132" t="n">
        <v>8</v>
      </c>
      <c r="C10" s="133" t="n">
        <f aca="false">8000000*(1-0.025*(B10-15))</f>
        <v>9400000</v>
      </c>
      <c r="D10" s="106" t="n">
        <f aca="false">B10*C10/10000000</f>
        <v>7.52</v>
      </c>
      <c r="E10" s="106" t="n">
        <f aca="false">14*C10/10000000</f>
        <v>13.16</v>
      </c>
      <c r="F10" s="106" t="n">
        <f aca="false">D10-E10</f>
        <v>-5.64</v>
      </c>
      <c r="G10" s="106" t="n">
        <f aca="false">D10*0.08</f>
        <v>0.6016</v>
      </c>
      <c r="H10" s="106" t="n">
        <f aca="false">F10-G10-0.6</f>
        <v>-6.8416</v>
      </c>
      <c r="I10" s="134" t="n">
        <f aca="false">IF(D10&gt;0,H10/D10,0)</f>
        <v>-0.909787234042553</v>
      </c>
      <c r="J10" s="135" t="s">
        <v>241</v>
      </c>
      <c r="K10" s="136" t="s">
        <v>242</v>
      </c>
    </row>
    <row r="12" customFormat="false" ht="27.75" hidden="false" customHeight="true" outlineLevel="0" collapsed="false">
      <c r="A12" s="137" t="s">
        <v>243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</row>
    <row r="13" customFormat="false" ht="31.5" hidden="false" customHeight="true" outlineLevel="0" collapsed="false">
      <c r="A13" s="138" t="s">
        <v>229</v>
      </c>
      <c r="B13" s="138"/>
      <c r="C13" s="138"/>
      <c r="D13" s="139" t="s">
        <v>244</v>
      </c>
      <c r="E13" s="139"/>
      <c r="F13" s="139"/>
      <c r="G13" s="139"/>
      <c r="H13" s="139"/>
      <c r="I13" s="139"/>
      <c r="J13" s="139"/>
      <c r="K13" s="139"/>
    </row>
    <row r="14" customFormat="false" ht="31.5" hidden="false" customHeight="true" outlineLevel="0" collapsed="false">
      <c r="A14" s="140" t="s">
        <v>232</v>
      </c>
      <c r="B14" s="140"/>
      <c r="C14" s="140"/>
      <c r="D14" s="139" t="s">
        <v>245</v>
      </c>
      <c r="E14" s="139"/>
      <c r="F14" s="139"/>
      <c r="G14" s="139"/>
      <c r="H14" s="139"/>
      <c r="I14" s="139"/>
      <c r="J14" s="139"/>
      <c r="K14" s="139"/>
    </row>
    <row r="15" customFormat="false" ht="31.5" hidden="false" customHeight="true" outlineLevel="0" collapsed="false">
      <c r="A15" s="141" t="s">
        <v>235</v>
      </c>
      <c r="B15" s="141"/>
      <c r="C15" s="141"/>
      <c r="D15" s="139" t="s">
        <v>246</v>
      </c>
      <c r="E15" s="139"/>
      <c r="F15" s="139"/>
      <c r="G15" s="139"/>
      <c r="H15" s="139"/>
      <c r="I15" s="139"/>
      <c r="J15" s="139"/>
      <c r="K15" s="139"/>
    </row>
    <row r="16" customFormat="false" ht="31.5" hidden="false" customHeight="true" outlineLevel="0" collapsed="false">
      <c r="A16" s="142" t="s">
        <v>238</v>
      </c>
      <c r="B16" s="142"/>
      <c r="C16" s="142"/>
      <c r="D16" s="139" t="s">
        <v>247</v>
      </c>
      <c r="E16" s="139"/>
      <c r="F16" s="139"/>
      <c r="G16" s="139"/>
      <c r="H16" s="139"/>
      <c r="I16" s="139"/>
      <c r="J16" s="139"/>
      <c r="K16" s="139"/>
    </row>
    <row r="17" customFormat="false" ht="31.5" hidden="false" customHeight="true" outlineLevel="0" collapsed="false">
      <c r="A17" s="143" t="s">
        <v>240</v>
      </c>
      <c r="B17" s="143"/>
      <c r="C17" s="143"/>
      <c r="D17" s="144" t="s">
        <v>248</v>
      </c>
      <c r="E17" s="144"/>
      <c r="F17" s="144"/>
      <c r="G17" s="144"/>
      <c r="H17" s="144"/>
      <c r="I17" s="144"/>
      <c r="J17" s="144"/>
      <c r="K17" s="144"/>
    </row>
  </sheetData>
  <mergeCells count="14">
    <mergeCell ref="A1:K1"/>
    <mergeCell ref="A2:K2"/>
    <mergeCell ref="A4:K4"/>
    <mergeCell ref="A12:K12"/>
    <mergeCell ref="A13:C13"/>
    <mergeCell ref="D13:K13"/>
    <mergeCell ref="A14:C14"/>
    <mergeCell ref="D14:K14"/>
    <mergeCell ref="A15:C15"/>
    <mergeCell ref="D15:K15"/>
    <mergeCell ref="A16:C16"/>
    <mergeCell ref="D16:K16"/>
    <mergeCell ref="A17:C17"/>
    <mergeCell ref="D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7" min="4" style="1" width="12"/>
    <col collapsed="false" customWidth="true" hidden="false" outlineLevel="0" max="8" min="8" style="1" width="16"/>
    <col collapsed="false" customWidth="true" hidden="false" outlineLevel="0" max="9" min="9" style="1" width="28"/>
  </cols>
  <sheetData>
    <row r="1" customFormat="false" ht="37.5" hidden="false" customHeight="true" outlineLevel="0" collapsed="false">
      <c r="A1" s="31" t="s">
        <v>249</v>
      </c>
      <c r="B1" s="31"/>
      <c r="C1" s="31"/>
      <c r="D1" s="31"/>
      <c r="E1" s="31"/>
      <c r="F1" s="31"/>
      <c r="G1" s="31"/>
      <c r="H1" s="31"/>
      <c r="I1" s="31"/>
      <c r="J1" s="31"/>
    </row>
    <row r="3" customFormat="false" ht="27.75" hidden="false" customHeight="true" outlineLevel="0" collapsed="false">
      <c r="A3" s="79" t="s">
        <v>250</v>
      </c>
      <c r="B3" s="79"/>
      <c r="C3" s="79"/>
      <c r="D3" s="79"/>
      <c r="E3" s="79"/>
      <c r="F3" s="79"/>
      <c r="G3" s="79"/>
      <c r="H3" s="79"/>
      <c r="I3" s="79"/>
      <c r="J3" s="79"/>
    </row>
    <row r="4" customFormat="false" ht="30" hidden="false" customHeight="true" outlineLevel="0" collapsed="false">
      <c r="A4" s="40" t="s">
        <v>251</v>
      </c>
      <c r="B4" s="41" t="s">
        <v>252</v>
      </c>
      <c r="C4" s="41" t="s">
        <v>253</v>
      </c>
      <c r="D4" s="41" t="s">
        <v>254</v>
      </c>
      <c r="E4" s="41" t="s">
        <v>255</v>
      </c>
      <c r="F4" s="41" t="s">
        <v>256</v>
      </c>
      <c r="G4" s="42" t="s">
        <v>257</v>
      </c>
    </row>
    <row r="5" customFormat="false" ht="19.5" hidden="false" customHeight="true" outlineLevel="0" collapsed="false">
      <c r="A5" s="145" t="s">
        <v>258</v>
      </c>
      <c r="B5" s="115" t="n">
        <v>80000000</v>
      </c>
      <c r="C5" s="117" t="n">
        <v>0.08</v>
      </c>
      <c r="D5" s="115" t="n">
        <f aca="false">B5*0.1</f>
        <v>8000000</v>
      </c>
      <c r="E5" s="115" t="n">
        <f aca="false">D5*15/100</f>
        <v>1200000</v>
      </c>
      <c r="F5" s="118" t="s">
        <v>230</v>
      </c>
      <c r="G5" s="119" t="s">
        <v>259</v>
      </c>
    </row>
    <row r="6" customFormat="false" ht="19.5" hidden="false" customHeight="true" outlineLevel="0" collapsed="false">
      <c r="A6" s="146" t="s">
        <v>260</v>
      </c>
      <c r="B6" s="57" t="n">
        <v>60000000</v>
      </c>
      <c r="C6" s="59" t="n">
        <v>0.06</v>
      </c>
      <c r="D6" s="57" t="n">
        <f aca="false">B6*0.1</f>
        <v>6000000</v>
      </c>
      <c r="E6" s="57" t="n">
        <f aca="false">D6*15/100</f>
        <v>900000</v>
      </c>
      <c r="F6" s="122" t="s">
        <v>233</v>
      </c>
      <c r="G6" s="123" t="s">
        <v>261</v>
      </c>
    </row>
    <row r="7" customFormat="false" ht="19.5" hidden="false" customHeight="true" outlineLevel="0" collapsed="false">
      <c r="A7" s="147" t="s">
        <v>262</v>
      </c>
      <c r="B7" s="51" t="n">
        <v>15000000</v>
      </c>
      <c r="C7" s="53" t="n">
        <v>0.12</v>
      </c>
      <c r="D7" s="51" t="n">
        <f aca="false">B7*0.1</f>
        <v>1500000</v>
      </c>
      <c r="E7" s="51" t="n">
        <f aca="false">D7*15/100</f>
        <v>225000</v>
      </c>
      <c r="F7" s="148" t="s">
        <v>236</v>
      </c>
      <c r="G7" s="149" t="s">
        <v>263</v>
      </c>
    </row>
    <row r="8" customFormat="false" ht="19.5" hidden="false" customHeight="true" outlineLevel="0" collapsed="false">
      <c r="A8" s="147" t="s">
        <v>264</v>
      </c>
      <c r="B8" s="51" t="n">
        <v>40000000</v>
      </c>
      <c r="C8" s="53" t="n">
        <v>0.05</v>
      </c>
      <c r="D8" s="51" t="n">
        <f aca="false">B8*0.1</f>
        <v>4000000</v>
      </c>
      <c r="E8" s="51" t="n">
        <f aca="false">D8*15/100</f>
        <v>600000</v>
      </c>
      <c r="F8" s="148" t="s">
        <v>233</v>
      </c>
      <c r="G8" s="149" t="s">
        <v>263</v>
      </c>
    </row>
    <row r="9" customFormat="false" ht="19.5" hidden="false" customHeight="true" outlineLevel="0" collapsed="false">
      <c r="A9" s="150" t="s">
        <v>265</v>
      </c>
      <c r="B9" s="151" t="n">
        <v>12000000</v>
      </c>
      <c r="C9" s="152" t="n">
        <v>0.09</v>
      </c>
      <c r="D9" s="151" t="n">
        <f aca="false">B9*0.1</f>
        <v>1200000</v>
      </c>
      <c r="E9" s="151" t="n">
        <f aca="false">D9*15/100</f>
        <v>180000</v>
      </c>
      <c r="F9" s="153" t="s">
        <v>236</v>
      </c>
      <c r="G9" s="154" t="s">
        <v>263</v>
      </c>
    </row>
    <row r="10" customFormat="false" ht="21.75" hidden="false" customHeight="true" outlineLevel="0" collapsed="false">
      <c r="A10" s="155" t="s">
        <v>266</v>
      </c>
      <c r="B10" s="155"/>
      <c r="C10" s="155"/>
      <c r="D10" s="155"/>
      <c r="E10" s="155"/>
      <c r="F10" s="155"/>
      <c r="G10" s="155"/>
      <c r="H10" s="155"/>
      <c r="I10" s="155"/>
      <c r="J10" s="155"/>
    </row>
    <row r="12" customFormat="false" ht="27.75" hidden="false" customHeight="true" outlineLevel="0" collapsed="false">
      <c r="A12" s="79" t="s">
        <v>267</v>
      </c>
      <c r="B12" s="79"/>
      <c r="C12" s="79"/>
      <c r="D12" s="79"/>
      <c r="E12" s="79"/>
      <c r="F12" s="79"/>
      <c r="G12" s="79"/>
      <c r="H12" s="79"/>
      <c r="I12" s="79"/>
      <c r="J12" s="79"/>
    </row>
    <row r="13" customFormat="false" ht="30" hidden="false" customHeight="true" outlineLevel="0" collapsed="false">
      <c r="A13" s="40" t="s">
        <v>268</v>
      </c>
      <c r="B13" s="41" t="s">
        <v>269</v>
      </c>
      <c r="C13" s="41" t="s">
        <v>270</v>
      </c>
      <c r="D13" s="41" t="s">
        <v>271</v>
      </c>
      <c r="E13" s="41" t="s">
        <v>272</v>
      </c>
      <c r="F13" s="41" t="s">
        <v>273</v>
      </c>
      <c r="G13" s="41" t="s">
        <v>274</v>
      </c>
      <c r="H13" s="41" t="s">
        <v>275</v>
      </c>
      <c r="I13" s="42" t="s">
        <v>276</v>
      </c>
    </row>
    <row r="14" customFormat="false" ht="21.75" hidden="false" customHeight="true" outlineLevel="0" collapsed="false">
      <c r="A14" s="156" t="s">
        <v>277</v>
      </c>
      <c r="B14" s="157" t="s">
        <v>278</v>
      </c>
      <c r="C14" s="157" t="s">
        <v>279</v>
      </c>
      <c r="D14" s="111" t="s">
        <v>236</v>
      </c>
      <c r="E14" s="46" t="n">
        <v>5</v>
      </c>
      <c r="F14" s="158" t="n">
        <v>0.28</v>
      </c>
      <c r="G14" s="157" t="s">
        <v>280</v>
      </c>
      <c r="H14" s="157" t="s">
        <v>281</v>
      </c>
      <c r="I14" s="159" t="s">
        <v>282</v>
      </c>
    </row>
    <row r="15" customFormat="false" ht="21.75" hidden="false" customHeight="true" outlineLevel="0" collapsed="false">
      <c r="A15" s="147" t="s">
        <v>283</v>
      </c>
      <c r="B15" s="148" t="s">
        <v>284</v>
      </c>
      <c r="C15" s="148" t="s">
        <v>285</v>
      </c>
      <c r="D15" s="160" t="s">
        <v>236</v>
      </c>
      <c r="E15" s="52" t="n">
        <v>8</v>
      </c>
      <c r="F15" s="161" t="n">
        <v>0.18</v>
      </c>
      <c r="G15" s="148" t="s">
        <v>280</v>
      </c>
      <c r="H15" s="148" t="s">
        <v>281</v>
      </c>
      <c r="I15" s="162" t="s">
        <v>286</v>
      </c>
    </row>
    <row r="16" customFormat="false" ht="21.75" hidden="false" customHeight="true" outlineLevel="0" collapsed="false">
      <c r="A16" s="156" t="s">
        <v>287</v>
      </c>
      <c r="B16" s="157" t="s">
        <v>288</v>
      </c>
      <c r="C16" s="157" t="s">
        <v>289</v>
      </c>
      <c r="D16" s="111" t="s">
        <v>236</v>
      </c>
      <c r="E16" s="46" t="n">
        <v>12</v>
      </c>
      <c r="F16" s="158" t="n">
        <v>0.14</v>
      </c>
      <c r="G16" s="157" t="s">
        <v>280</v>
      </c>
      <c r="H16" s="157" t="s">
        <v>290</v>
      </c>
      <c r="I16" s="159" t="s">
        <v>291</v>
      </c>
    </row>
    <row r="17" customFormat="false" ht="21.75" hidden="false" customHeight="true" outlineLevel="0" collapsed="false">
      <c r="A17" s="147" t="s">
        <v>277</v>
      </c>
      <c r="B17" s="148" t="s">
        <v>292</v>
      </c>
      <c r="C17" s="148" t="s">
        <v>293</v>
      </c>
      <c r="D17" s="163" t="s">
        <v>294</v>
      </c>
      <c r="E17" s="52" t="n">
        <v>32</v>
      </c>
      <c r="F17" s="161" t="n">
        <v>0.1</v>
      </c>
      <c r="G17" s="148" t="s">
        <v>295</v>
      </c>
      <c r="H17" s="148" t="s">
        <v>296</v>
      </c>
      <c r="I17" s="162" t="s">
        <v>297</v>
      </c>
    </row>
    <row r="18" customFormat="false" ht="21.75" hidden="false" customHeight="true" outlineLevel="0" collapsed="false">
      <c r="A18" s="164" t="s">
        <v>283</v>
      </c>
      <c r="B18" s="165" t="s">
        <v>298</v>
      </c>
      <c r="C18" s="165" t="s">
        <v>299</v>
      </c>
      <c r="D18" s="166" t="s">
        <v>294</v>
      </c>
      <c r="E18" s="167" t="n">
        <v>40</v>
      </c>
      <c r="F18" s="168" t="n">
        <v>0.08</v>
      </c>
      <c r="G18" s="165" t="s">
        <v>295</v>
      </c>
      <c r="H18" s="165" t="s">
        <v>300</v>
      </c>
      <c r="I18" s="169" t="s">
        <v>301</v>
      </c>
    </row>
    <row r="19" customFormat="false" ht="21.75" hidden="false" customHeight="true" outlineLevel="0" collapsed="false">
      <c r="A19" s="147" t="s">
        <v>302</v>
      </c>
      <c r="B19" s="148" t="s">
        <v>303</v>
      </c>
      <c r="C19" s="148" t="s">
        <v>304</v>
      </c>
      <c r="D19" s="170" t="s">
        <v>305</v>
      </c>
      <c r="E19" s="52" t="n">
        <v>180</v>
      </c>
      <c r="F19" s="161" t="n">
        <v>0.06</v>
      </c>
      <c r="G19" s="148" t="s">
        <v>306</v>
      </c>
      <c r="H19" s="148" t="s">
        <v>307</v>
      </c>
      <c r="I19" s="162" t="s">
        <v>308</v>
      </c>
    </row>
    <row r="20" customFormat="false" ht="21.75" hidden="false" customHeight="true" outlineLevel="0" collapsed="false">
      <c r="A20" s="171" t="s">
        <v>309</v>
      </c>
      <c r="B20" s="172" t="s">
        <v>310</v>
      </c>
      <c r="C20" s="172" t="s">
        <v>311</v>
      </c>
      <c r="D20" s="173" t="s">
        <v>305</v>
      </c>
      <c r="E20" s="70" t="n">
        <v>120</v>
      </c>
      <c r="F20" s="174" t="n">
        <v>0.07</v>
      </c>
      <c r="G20" s="172" t="s">
        <v>295</v>
      </c>
      <c r="H20" s="172" t="s">
        <v>307</v>
      </c>
      <c r="I20" s="175" t="s">
        <v>312</v>
      </c>
    </row>
    <row r="21" customFormat="false" ht="21.75" hidden="false" customHeight="true" outlineLevel="0" collapsed="false">
      <c r="A21" s="176" t="s">
        <v>313</v>
      </c>
      <c r="B21" s="177" t="s">
        <v>314</v>
      </c>
      <c r="C21" s="177" t="s">
        <v>315</v>
      </c>
      <c r="D21" s="178" t="s">
        <v>316</v>
      </c>
      <c r="E21" s="179" t="n">
        <v>15</v>
      </c>
      <c r="F21" s="180" t="n">
        <v>0</v>
      </c>
      <c r="G21" s="177" t="s">
        <v>317</v>
      </c>
      <c r="H21" s="178" t="s">
        <v>318</v>
      </c>
      <c r="I21" s="181" t="s">
        <v>319</v>
      </c>
    </row>
  </sheetData>
  <mergeCells count="4">
    <mergeCell ref="A1:J1"/>
    <mergeCell ref="A3:J3"/>
    <mergeCell ref="A10:J10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9" min="8" style="1" width="14"/>
  </cols>
  <sheetData>
    <row r="1" customFormat="false" ht="37.5" hidden="false" customHeight="true" outlineLevel="0" collapsed="false">
      <c r="A1" s="31" t="s">
        <v>320</v>
      </c>
      <c r="B1" s="31"/>
      <c r="C1" s="31"/>
      <c r="D1" s="31"/>
      <c r="E1" s="31"/>
      <c r="F1" s="31"/>
      <c r="G1" s="31"/>
      <c r="H1" s="31"/>
      <c r="I1" s="31"/>
    </row>
    <row r="2" customFormat="false" ht="21.75" hidden="false" customHeight="true" outlineLevel="0" collapsed="false">
      <c r="A2" s="32" t="s">
        <v>321</v>
      </c>
      <c r="B2" s="32"/>
      <c r="C2" s="32"/>
      <c r="D2" s="32"/>
      <c r="E2" s="32"/>
      <c r="F2" s="32"/>
      <c r="G2" s="32"/>
      <c r="H2" s="32"/>
      <c r="I2" s="32"/>
    </row>
    <row r="4" customFormat="false" ht="36" hidden="false" customHeight="true" outlineLevel="0" collapsed="false">
      <c r="A4" s="40" t="s">
        <v>322</v>
      </c>
      <c r="B4" s="41" t="s">
        <v>323</v>
      </c>
      <c r="C4" s="41" t="s">
        <v>324</v>
      </c>
      <c r="D4" s="41" t="s">
        <v>325</v>
      </c>
      <c r="E4" s="41" t="s">
        <v>326</v>
      </c>
      <c r="F4" s="41" t="s">
        <v>71</v>
      </c>
      <c r="G4" s="41" t="s">
        <v>327</v>
      </c>
      <c r="H4" s="41" t="s">
        <v>328</v>
      </c>
      <c r="I4" s="42" t="s">
        <v>329</v>
      </c>
    </row>
    <row r="5" customFormat="false" ht="18" hidden="false" customHeight="true" outlineLevel="0" collapsed="false">
      <c r="A5" s="182" t="s">
        <v>330</v>
      </c>
      <c r="B5" s="183" t="n">
        <v>0</v>
      </c>
      <c r="C5" s="183" t="n">
        <v>120000</v>
      </c>
      <c r="D5" s="183" t="n">
        <v>0</v>
      </c>
      <c r="E5" s="184" t="n">
        <f aca="false">B5+C5+D5</f>
        <v>120000</v>
      </c>
      <c r="F5" s="185" t="n">
        <f aca="false">(B5*17+C5*15+D5*9)/10000000</f>
        <v>0.18</v>
      </c>
      <c r="G5" s="186" t="n">
        <v>0</v>
      </c>
      <c r="H5" s="187" t="n">
        <f aca="false">SUM(E$5:E5)</f>
        <v>120000</v>
      </c>
      <c r="I5" s="188" t="n">
        <f aca="false">E5/80000000</f>
        <v>0.0015</v>
      </c>
    </row>
    <row r="6" customFormat="false" ht="18" hidden="false" customHeight="true" outlineLevel="0" collapsed="false">
      <c r="A6" s="80" t="s">
        <v>331</v>
      </c>
      <c r="B6" s="183" t="n">
        <v>0</v>
      </c>
      <c r="C6" s="183" t="n">
        <v>138000</v>
      </c>
      <c r="D6" s="183" t="n">
        <v>0</v>
      </c>
      <c r="E6" s="184" t="n">
        <f aca="false">B6+C6+D6</f>
        <v>138000</v>
      </c>
      <c r="F6" s="185" t="n">
        <f aca="false">(B6*17+C6*15+D6*9)/10000000</f>
        <v>0.207</v>
      </c>
      <c r="G6" s="186" t="n">
        <f aca="false">(E6-E5)/E5</f>
        <v>0.15</v>
      </c>
      <c r="H6" s="187" t="n">
        <f aca="false">SUM(E$5:E6)</f>
        <v>258000</v>
      </c>
      <c r="I6" s="188" t="n">
        <f aca="false">E6/80000000</f>
        <v>0.001725</v>
      </c>
    </row>
    <row r="7" customFormat="false" ht="18" hidden="false" customHeight="true" outlineLevel="0" collapsed="false">
      <c r="A7" s="80" t="s">
        <v>332</v>
      </c>
      <c r="B7" s="183" t="n">
        <v>0</v>
      </c>
      <c r="C7" s="183" t="n">
        <v>158000</v>
      </c>
      <c r="D7" s="183" t="n">
        <v>0</v>
      </c>
      <c r="E7" s="184" t="n">
        <f aca="false">B7+C7+D7</f>
        <v>158000</v>
      </c>
      <c r="F7" s="185" t="n">
        <f aca="false">(B7*17+C7*15+D7*9)/10000000</f>
        <v>0.237</v>
      </c>
      <c r="G7" s="186" t="n">
        <f aca="false">(E7-E6)/E6</f>
        <v>0.144927536231884</v>
      </c>
      <c r="H7" s="187" t="n">
        <f aca="false">SUM(E$5:E7)</f>
        <v>416000</v>
      </c>
      <c r="I7" s="188" t="n">
        <f aca="false">E7/80000000</f>
        <v>0.001975</v>
      </c>
    </row>
    <row r="8" customFormat="false" ht="18" hidden="false" customHeight="true" outlineLevel="0" collapsed="false">
      <c r="A8" s="189" t="s">
        <v>333</v>
      </c>
      <c r="B8" s="183" t="n">
        <v>55000</v>
      </c>
      <c r="C8" s="183" t="n">
        <v>180000</v>
      </c>
      <c r="D8" s="183" t="n">
        <v>0</v>
      </c>
      <c r="E8" s="184" t="n">
        <f aca="false">B8+C8+D8</f>
        <v>235000</v>
      </c>
      <c r="F8" s="185" t="n">
        <f aca="false">(B8*17+C8*15+D8*9)/10000000</f>
        <v>0.3635</v>
      </c>
      <c r="G8" s="186" t="n">
        <f aca="false">(E8-E7)/E7</f>
        <v>0.487341772151899</v>
      </c>
      <c r="H8" s="187" t="n">
        <f aca="false">SUM(E$5:E8)</f>
        <v>651000</v>
      </c>
      <c r="I8" s="188" t="n">
        <f aca="false">E8/80000000</f>
        <v>0.0029375</v>
      </c>
    </row>
    <row r="9" customFormat="false" ht="18" hidden="false" customHeight="true" outlineLevel="0" collapsed="false">
      <c r="A9" s="189" t="s">
        <v>334</v>
      </c>
      <c r="B9" s="183" t="n">
        <v>62000</v>
      </c>
      <c r="C9" s="183" t="n">
        <v>204000</v>
      </c>
      <c r="D9" s="183" t="n">
        <v>0</v>
      </c>
      <c r="E9" s="184" t="n">
        <f aca="false">B9+C9+D9</f>
        <v>266000</v>
      </c>
      <c r="F9" s="185" t="n">
        <f aca="false">(B9*17+C9*15+D9*9)/10000000</f>
        <v>0.4114</v>
      </c>
      <c r="G9" s="186" t="n">
        <f aca="false">(E9-E8)/E8</f>
        <v>0.131914893617021</v>
      </c>
      <c r="H9" s="187" t="n">
        <f aca="false">SUM(E$5:E9)</f>
        <v>917000</v>
      </c>
      <c r="I9" s="188" t="n">
        <f aca="false">E9/80000000</f>
        <v>0.003325</v>
      </c>
    </row>
    <row r="10" customFormat="false" ht="18" hidden="false" customHeight="true" outlineLevel="0" collapsed="false">
      <c r="A10" s="189" t="s">
        <v>335</v>
      </c>
      <c r="B10" s="183" t="n">
        <v>70000</v>
      </c>
      <c r="C10" s="183" t="n">
        <v>230000</v>
      </c>
      <c r="D10" s="183" t="n">
        <v>0</v>
      </c>
      <c r="E10" s="184" t="n">
        <f aca="false">B10+C10+D10</f>
        <v>300000</v>
      </c>
      <c r="F10" s="185" t="n">
        <f aca="false">(B10*17+C10*15+D10*9)/10000000</f>
        <v>0.464</v>
      </c>
      <c r="G10" s="186" t="n">
        <f aca="false">(E10-E9)/E9</f>
        <v>0.12781954887218</v>
      </c>
      <c r="H10" s="187" t="n">
        <f aca="false">SUM(E$5:E10)</f>
        <v>1217000</v>
      </c>
      <c r="I10" s="188" t="n">
        <f aca="false">E10/80000000</f>
        <v>0.00375</v>
      </c>
    </row>
    <row r="11" customFormat="false" ht="18" hidden="false" customHeight="true" outlineLevel="0" collapsed="false">
      <c r="A11" s="189" t="s">
        <v>336</v>
      </c>
      <c r="B11" s="183" t="n">
        <v>78000</v>
      </c>
      <c r="C11" s="183" t="n">
        <v>258000</v>
      </c>
      <c r="D11" s="183" t="n">
        <v>0</v>
      </c>
      <c r="E11" s="184" t="n">
        <f aca="false">B11+C11+D11</f>
        <v>336000</v>
      </c>
      <c r="F11" s="185" t="n">
        <f aca="false">(B11*17+C11*15+D11*9)/10000000</f>
        <v>0.5196</v>
      </c>
      <c r="G11" s="186" t="n">
        <f aca="false">(E11-E10)/E10</f>
        <v>0.12</v>
      </c>
      <c r="H11" s="187" t="n">
        <f aca="false">SUM(E$5:E11)</f>
        <v>1553000</v>
      </c>
      <c r="I11" s="188" t="n">
        <f aca="false">E11/80000000</f>
        <v>0.0042</v>
      </c>
    </row>
    <row r="12" customFormat="false" ht="18" hidden="false" customHeight="true" outlineLevel="0" collapsed="false">
      <c r="A12" s="189" t="s">
        <v>337</v>
      </c>
      <c r="B12" s="183" t="n">
        <v>86000</v>
      </c>
      <c r="C12" s="183" t="n">
        <v>288000</v>
      </c>
      <c r="D12" s="183" t="n">
        <v>0</v>
      </c>
      <c r="E12" s="184" t="n">
        <f aca="false">B12+C12+D12</f>
        <v>374000</v>
      </c>
      <c r="F12" s="185" t="n">
        <f aca="false">(B12*17+C12*15+D12*9)/10000000</f>
        <v>0.5782</v>
      </c>
      <c r="G12" s="186" t="n">
        <f aca="false">(E12-E11)/E11</f>
        <v>0.113095238095238</v>
      </c>
      <c r="H12" s="187" t="n">
        <f aca="false">SUM(E$5:E12)</f>
        <v>1927000</v>
      </c>
      <c r="I12" s="188" t="n">
        <f aca="false">E12/80000000</f>
        <v>0.004675</v>
      </c>
    </row>
    <row r="13" customFormat="false" ht="18" hidden="false" customHeight="true" outlineLevel="0" collapsed="false">
      <c r="A13" s="189" t="s">
        <v>338</v>
      </c>
      <c r="B13" s="183" t="n">
        <v>95000</v>
      </c>
      <c r="C13" s="183" t="n">
        <v>320000</v>
      </c>
      <c r="D13" s="183" t="n">
        <v>0</v>
      </c>
      <c r="E13" s="184" t="n">
        <f aca="false">B13+C13+D13</f>
        <v>415000</v>
      </c>
      <c r="F13" s="185" t="n">
        <f aca="false">(B13*17+C13*15+D13*9)/10000000</f>
        <v>0.6415</v>
      </c>
      <c r="G13" s="186" t="n">
        <f aca="false">(E13-E12)/E12</f>
        <v>0.109625668449198</v>
      </c>
      <c r="H13" s="187" t="n">
        <f aca="false">SUM(E$5:E13)</f>
        <v>2342000</v>
      </c>
      <c r="I13" s="188" t="n">
        <f aca="false">E13/80000000</f>
        <v>0.0051875</v>
      </c>
    </row>
    <row r="14" customFormat="false" ht="18" hidden="false" customHeight="true" outlineLevel="0" collapsed="false">
      <c r="A14" s="189" t="s">
        <v>339</v>
      </c>
      <c r="B14" s="183" t="n">
        <v>104000</v>
      </c>
      <c r="C14" s="183" t="n">
        <v>355000</v>
      </c>
      <c r="D14" s="183" t="n">
        <v>0</v>
      </c>
      <c r="E14" s="184" t="n">
        <f aca="false">B14+C14+D14</f>
        <v>459000</v>
      </c>
      <c r="F14" s="185" t="n">
        <f aca="false">(B14*17+C14*15+D14*9)/10000000</f>
        <v>0.7093</v>
      </c>
      <c r="G14" s="186" t="n">
        <f aca="false">(E14-E13)/E13</f>
        <v>0.106024096385542</v>
      </c>
      <c r="H14" s="187" t="n">
        <f aca="false">SUM(E$5:E14)</f>
        <v>2801000</v>
      </c>
      <c r="I14" s="188" t="n">
        <f aca="false">E14/80000000</f>
        <v>0.0057375</v>
      </c>
    </row>
    <row r="15" customFormat="false" ht="18" hidden="false" customHeight="true" outlineLevel="0" collapsed="false">
      <c r="A15" s="189" t="s">
        <v>340</v>
      </c>
      <c r="B15" s="183" t="n">
        <v>114000</v>
      </c>
      <c r="C15" s="183" t="n">
        <v>392000</v>
      </c>
      <c r="D15" s="183" t="n">
        <v>0</v>
      </c>
      <c r="E15" s="184" t="n">
        <f aca="false">B15+C15+D15</f>
        <v>506000</v>
      </c>
      <c r="F15" s="185" t="n">
        <f aca="false">(B15*17+C15*15+D15*9)/10000000</f>
        <v>0.7818</v>
      </c>
      <c r="G15" s="186" t="n">
        <f aca="false">(E15-E14)/E14</f>
        <v>0.10239651416122</v>
      </c>
      <c r="H15" s="187" t="n">
        <f aca="false">SUM(E$5:E15)</f>
        <v>3307000</v>
      </c>
      <c r="I15" s="188" t="n">
        <f aca="false">E15/80000000</f>
        <v>0.006325</v>
      </c>
    </row>
    <row r="16" customFormat="false" ht="18" hidden="false" customHeight="true" outlineLevel="0" collapsed="false">
      <c r="A16" s="189" t="s">
        <v>341</v>
      </c>
      <c r="B16" s="183" t="n">
        <v>125000</v>
      </c>
      <c r="C16" s="183" t="n">
        <v>432000</v>
      </c>
      <c r="D16" s="183" t="n">
        <v>0</v>
      </c>
      <c r="E16" s="184" t="n">
        <f aca="false">B16+C16+D16</f>
        <v>557000</v>
      </c>
      <c r="F16" s="185" t="n">
        <f aca="false">(B16*17+C16*15+D16*9)/10000000</f>
        <v>0.8605</v>
      </c>
      <c r="G16" s="186" t="n">
        <f aca="false">(E16-E15)/E15</f>
        <v>0.100790513833992</v>
      </c>
      <c r="H16" s="187" t="n">
        <f aca="false">SUM(E$5:E16)</f>
        <v>3864000</v>
      </c>
      <c r="I16" s="188" t="n">
        <f aca="false">E16/80000000</f>
        <v>0.0069625</v>
      </c>
    </row>
    <row r="17" customFormat="false" ht="18" hidden="false" customHeight="true" outlineLevel="0" collapsed="false">
      <c r="A17" s="190" t="s">
        <v>342</v>
      </c>
      <c r="B17" s="51" t="n">
        <v>138000</v>
      </c>
      <c r="C17" s="51" t="n">
        <v>475000</v>
      </c>
      <c r="D17" s="51" t="n">
        <v>45000</v>
      </c>
      <c r="E17" s="191" t="n">
        <f aca="false">B17+C17+D17</f>
        <v>658000</v>
      </c>
      <c r="F17" s="192" t="n">
        <f aca="false">(B17*17+C17*15+D17*9)/10000000</f>
        <v>0.9876</v>
      </c>
      <c r="G17" s="193" t="n">
        <f aca="false">(E17-E16)/E16</f>
        <v>0.18132854578097</v>
      </c>
      <c r="H17" s="194" t="n">
        <f aca="false">SUM(E$5:E17)</f>
        <v>4522000</v>
      </c>
      <c r="I17" s="195" t="n">
        <f aca="false">E17/80000000</f>
        <v>0.008225</v>
      </c>
    </row>
    <row r="18" customFormat="false" ht="18" hidden="false" customHeight="true" outlineLevel="0" collapsed="false">
      <c r="A18" s="89" t="s">
        <v>343</v>
      </c>
      <c r="B18" s="51" t="n">
        <v>151000</v>
      </c>
      <c r="C18" s="51" t="n">
        <v>520000</v>
      </c>
      <c r="D18" s="51" t="n">
        <v>52000</v>
      </c>
      <c r="E18" s="191" t="n">
        <f aca="false">B18+C18+D18</f>
        <v>723000</v>
      </c>
      <c r="F18" s="192" t="n">
        <f aca="false">(B18*17+C18*15+D18*9)/10000000</f>
        <v>1.0835</v>
      </c>
      <c r="G18" s="193" t="n">
        <f aca="false">(E18-E17)/E17</f>
        <v>0.0987841945288754</v>
      </c>
      <c r="H18" s="194" t="n">
        <f aca="false">SUM(E$5:E18)</f>
        <v>5245000</v>
      </c>
      <c r="I18" s="195" t="n">
        <f aca="false">E18/80000000</f>
        <v>0.0090375</v>
      </c>
    </row>
    <row r="19" customFormat="false" ht="18" hidden="false" customHeight="true" outlineLevel="0" collapsed="false">
      <c r="A19" s="89" t="s">
        <v>344</v>
      </c>
      <c r="B19" s="51" t="n">
        <v>165000</v>
      </c>
      <c r="C19" s="51" t="n">
        <v>568000</v>
      </c>
      <c r="D19" s="51" t="n">
        <v>60000</v>
      </c>
      <c r="E19" s="191" t="n">
        <f aca="false">B19+C19+D19</f>
        <v>793000</v>
      </c>
      <c r="F19" s="192" t="n">
        <f aca="false">(B19*17+C19*15+D19*9)/10000000</f>
        <v>1.1865</v>
      </c>
      <c r="G19" s="193" t="n">
        <f aca="false">(E19-E18)/E18</f>
        <v>0.0968188105117566</v>
      </c>
      <c r="H19" s="194" t="n">
        <f aca="false">SUM(E$5:E19)</f>
        <v>6038000</v>
      </c>
      <c r="I19" s="195" t="n">
        <f aca="false">E19/80000000</f>
        <v>0.0099125</v>
      </c>
    </row>
    <row r="20" customFormat="false" ht="18" hidden="false" customHeight="true" outlineLevel="0" collapsed="false">
      <c r="A20" s="89" t="s">
        <v>345</v>
      </c>
      <c r="B20" s="51" t="n">
        <v>180000</v>
      </c>
      <c r="C20" s="51" t="n">
        <v>620000</v>
      </c>
      <c r="D20" s="51" t="n">
        <v>68000</v>
      </c>
      <c r="E20" s="191" t="n">
        <f aca="false">B20+C20+D20</f>
        <v>868000</v>
      </c>
      <c r="F20" s="192" t="n">
        <f aca="false">(B20*17+C20*15+D20*9)/10000000</f>
        <v>1.2972</v>
      </c>
      <c r="G20" s="193" t="n">
        <f aca="false">(E20-E19)/E19</f>
        <v>0.094577553593947</v>
      </c>
      <c r="H20" s="194" t="n">
        <f aca="false">SUM(E$5:E20)</f>
        <v>6906000</v>
      </c>
      <c r="I20" s="195" t="n">
        <f aca="false">E20/80000000</f>
        <v>0.01085</v>
      </c>
    </row>
    <row r="21" customFormat="false" ht="18" hidden="false" customHeight="true" outlineLevel="0" collapsed="false">
      <c r="A21" s="89" t="s">
        <v>346</v>
      </c>
      <c r="B21" s="51" t="n">
        <v>196000</v>
      </c>
      <c r="C21" s="51" t="n">
        <v>675000</v>
      </c>
      <c r="D21" s="51" t="n">
        <v>78000</v>
      </c>
      <c r="E21" s="191" t="n">
        <f aca="false">B21+C21+D21</f>
        <v>949000</v>
      </c>
      <c r="F21" s="192" t="n">
        <f aca="false">(B21*17+C21*15+D21*9)/10000000</f>
        <v>1.4159</v>
      </c>
      <c r="G21" s="193" t="n">
        <f aca="false">(E21-E20)/E20</f>
        <v>0.0933179723502304</v>
      </c>
      <c r="H21" s="194" t="n">
        <f aca="false">SUM(E$5:E21)</f>
        <v>7855000</v>
      </c>
      <c r="I21" s="195" t="n">
        <f aca="false">E21/80000000</f>
        <v>0.0118625</v>
      </c>
    </row>
    <row r="22" customFormat="false" ht="18" hidden="false" customHeight="true" outlineLevel="0" collapsed="false">
      <c r="A22" s="89" t="s">
        <v>347</v>
      </c>
      <c r="B22" s="51" t="n">
        <v>213000</v>
      </c>
      <c r="C22" s="51" t="n">
        <v>734000</v>
      </c>
      <c r="D22" s="51" t="n">
        <v>88000</v>
      </c>
      <c r="E22" s="191" t="n">
        <f aca="false">B22+C22+D22</f>
        <v>1035000</v>
      </c>
      <c r="F22" s="192" t="n">
        <f aca="false">(B22*17+C22*15+D22*9)/10000000</f>
        <v>1.5423</v>
      </c>
      <c r="G22" s="193" t="n">
        <f aca="false">(E22-E21)/E21</f>
        <v>0.0906217070600632</v>
      </c>
      <c r="H22" s="194" t="n">
        <f aca="false">SUM(E$5:E22)</f>
        <v>8890000</v>
      </c>
      <c r="I22" s="195" t="n">
        <f aca="false">E22/80000000</f>
        <v>0.0129375</v>
      </c>
    </row>
    <row r="23" customFormat="false" ht="18" hidden="false" customHeight="true" outlineLevel="0" collapsed="false">
      <c r="A23" s="89" t="s">
        <v>348</v>
      </c>
      <c r="B23" s="51" t="n">
        <v>231000</v>
      </c>
      <c r="C23" s="51" t="n">
        <v>796000</v>
      </c>
      <c r="D23" s="51" t="n">
        <v>100000</v>
      </c>
      <c r="E23" s="191" t="n">
        <f aca="false">B23+C23+D23</f>
        <v>1127000</v>
      </c>
      <c r="F23" s="192" t="n">
        <f aca="false">(B23*17+C23*15+D23*9)/10000000</f>
        <v>1.6767</v>
      </c>
      <c r="G23" s="193" t="n">
        <f aca="false">(E23-E22)/E22</f>
        <v>0.0888888888888889</v>
      </c>
      <c r="H23" s="194" t="n">
        <f aca="false">SUM(E$5:E23)</f>
        <v>10017000</v>
      </c>
      <c r="I23" s="195" t="n">
        <f aca="false">E23/80000000</f>
        <v>0.0140875</v>
      </c>
    </row>
    <row r="24" customFormat="false" ht="18" hidden="false" customHeight="true" outlineLevel="0" collapsed="false">
      <c r="A24" s="89" t="s">
        <v>349</v>
      </c>
      <c r="B24" s="51" t="n">
        <v>250000</v>
      </c>
      <c r="C24" s="51" t="n">
        <v>862000</v>
      </c>
      <c r="D24" s="51" t="n">
        <v>113000</v>
      </c>
      <c r="E24" s="191" t="n">
        <f aca="false">B24+C24+D24</f>
        <v>1225000</v>
      </c>
      <c r="F24" s="192" t="n">
        <f aca="false">(B24*17+C24*15+D24*9)/10000000</f>
        <v>1.8197</v>
      </c>
      <c r="G24" s="193" t="n">
        <f aca="false">(E24-E23)/E23</f>
        <v>0.0869565217391304</v>
      </c>
      <c r="H24" s="194" t="n">
        <f aca="false">SUM(E$5:E24)</f>
        <v>11242000</v>
      </c>
      <c r="I24" s="195" t="n">
        <f aca="false">E24/80000000</f>
        <v>0.0153125</v>
      </c>
    </row>
    <row r="25" customFormat="false" ht="18" hidden="false" customHeight="true" outlineLevel="0" collapsed="false">
      <c r="A25" s="89" t="s">
        <v>350</v>
      </c>
      <c r="B25" s="51" t="n">
        <v>270000</v>
      </c>
      <c r="C25" s="51" t="n">
        <v>932000</v>
      </c>
      <c r="D25" s="51" t="n">
        <v>127000</v>
      </c>
      <c r="E25" s="191" t="n">
        <f aca="false">B25+C25+D25</f>
        <v>1329000</v>
      </c>
      <c r="F25" s="192" t="n">
        <f aca="false">(B25*17+C25*15+D25*9)/10000000</f>
        <v>1.9713</v>
      </c>
      <c r="G25" s="193" t="n">
        <f aca="false">(E25-E24)/E24</f>
        <v>0.0848979591836735</v>
      </c>
      <c r="H25" s="194" t="n">
        <f aca="false">SUM(E$5:E25)</f>
        <v>12571000</v>
      </c>
      <c r="I25" s="195" t="n">
        <f aca="false">E25/80000000</f>
        <v>0.0166125</v>
      </c>
    </row>
    <row r="26" customFormat="false" ht="18" hidden="false" customHeight="true" outlineLevel="0" collapsed="false">
      <c r="A26" s="89" t="s">
        <v>351</v>
      </c>
      <c r="B26" s="51" t="n">
        <v>292000</v>
      </c>
      <c r="C26" s="51" t="n">
        <v>1006000</v>
      </c>
      <c r="D26" s="51" t="n">
        <v>143000</v>
      </c>
      <c r="E26" s="191" t="n">
        <f aca="false">B26+C26+D26</f>
        <v>1441000</v>
      </c>
      <c r="F26" s="192" t="n">
        <f aca="false">(B26*17+C26*15+D26*9)/10000000</f>
        <v>2.1341</v>
      </c>
      <c r="G26" s="193" t="n">
        <f aca="false">(E26-E25)/E25</f>
        <v>0.0842738901429646</v>
      </c>
      <c r="H26" s="194" t="n">
        <f aca="false">SUM(E$5:E26)</f>
        <v>14012000</v>
      </c>
      <c r="I26" s="195" t="n">
        <f aca="false">E26/80000000</f>
        <v>0.0180125</v>
      </c>
    </row>
    <row r="27" customFormat="false" ht="18" hidden="false" customHeight="true" outlineLevel="0" collapsed="false">
      <c r="A27" s="89" t="s">
        <v>352</v>
      </c>
      <c r="B27" s="51" t="n">
        <v>315000</v>
      </c>
      <c r="C27" s="51" t="n">
        <v>1084000</v>
      </c>
      <c r="D27" s="51" t="n">
        <v>160000</v>
      </c>
      <c r="E27" s="191" t="n">
        <f aca="false">B27+C27+D27</f>
        <v>1559000</v>
      </c>
      <c r="F27" s="192" t="n">
        <f aca="false">(B27*17+C27*15+D27*9)/10000000</f>
        <v>2.3055</v>
      </c>
      <c r="G27" s="193" t="n">
        <f aca="false">(E27-E26)/E26</f>
        <v>0.0818875780707842</v>
      </c>
      <c r="H27" s="194" t="n">
        <f aca="false">SUM(E$5:E27)</f>
        <v>15571000</v>
      </c>
      <c r="I27" s="195" t="n">
        <f aca="false">E27/80000000</f>
        <v>0.0194875</v>
      </c>
    </row>
    <row r="28" customFormat="false" ht="18" hidden="false" customHeight="true" outlineLevel="0" collapsed="false">
      <c r="A28" s="196" t="s">
        <v>353</v>
      </c>
      <c r="B28" s="151" t="n">
        <v>340000</v>
      </c>
      <c r="C28" s="151" t="n">
        <v>1166000</v>
      </c>
      <c r="D28" s="151" t="n">
        <v>178000</v>
      </c>
      <c r="E28" s="197" t="n">
        <f aca="false">B28+C28+D28</f>
        <v>1684000</v>
      </c>
      <c r="F28" s="198" t="n">
        <f aca="false">(B28*17+C28*15+D28*9)/10000000</f>
        <v>2.4872</v>
      </c>
      <c r="G28" s="199" t="n">
        <f aca="false">(E28-E27)/E27</f>
        <v>0.0801796023091726</v>
      </c>
      <c r="H28" s="200" t="n">
        <f aca="false">SUM(E$5:E28)</f>
        <v>17255000</v>
      </c>
      <c r="I28" s="201" t="n">
        <f aca="false">E28/80000000</f>
        <v>0.02105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6" min="4" style="1" width="14"/>
  </cols>
  <sheetData>
    <row r="1" customFormat="false" ht="37.5" hidden="false" customHeight="true" outlineLevel="0" collapsed="false">
      <c r="A1" s="31" t="s">
        <v>354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customFormat="false" ht="21.75" hidden="false" customHeight="true" outlineLevel="0" collapsed="false">
      <c r="A2" s="32" t="s">
        <v>355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customFormat="false" ht="48" hidden="false" customHeight="true" outlineLevel="0" collapsed="false">
      <c r="A4" s="202" t="s">
        <v>356</v>
      </c>
      <c r="B4" s="203" t="s">
        <v>357</v>
      </c>
      <c r="C4" s="204" t="s">
        <v>358</v>
      </c>
      <c r="D4" s="205" t="s">
        <v>359</v>
      </c>
      <c r="E4" s="206" t="s">
        <v>360</v>
      </c>
      <c r="F4" s="207" t="s">
        <v>361</v>
      </c>
    </row>
    <row r="5" customFormat="false" ht="21.75" hidden="false" customHeight="true" outlineLevel="0" collapsed="false">
      <c r="A5" s="208" t="s">
        <v>362</v>
      </c>
      <c r="B5" s="46" t="n">
        <v>10</v>
      </c>
      <c r="C5" s="167" t="n">
        <v>15</v>
      </c>
      <c r="D5" s="58" t="n">
        <v>25</v>
      </c>
      <c r="E5" s="70" t="n">
        <v>17</v>
      </c>
      <c r="F5" s="209" t="n">
        <v>8</v>
      </c>
    </row>
    <row r="6" customFormat="false" ht="21.75" hidden="false" customHeight="true" outlineLevel="0" collapsed="false">
      <c r="A6" s="210" t="s">
        <v>363</v>
      </c>
      <c r="B6" s="45" t="n">
        <f aca="false">MAX(0,8000000*(1-0.025*(10-15)))</f>
        <v>9000000</v>
      </c>
      <c r="C6" s="211" t="n">
        <f aca="false">MAX(0,8000000*(1-0.025*(15-15)))</f>
        <v>8000000</v>
      </c>
      <c r="D6" s="57" t="n">
        <f aca="false">MAX(0,8000000*(1-0.025*(25-15)))</f>
        <v>6000000</v>
      </c>
      <c r="E6" s="69" t="n">
        <f aca="false">MAX(0,8000000*(1-0.025*(17-15)))</f>
        <v>7600000</v>
      </c>
      <c r="F6" s="212" t="n">
        <f aca="false">MAX(0,8000000*(1-0.025*(8-15)))</f>
        <v>9400000</v>
      </c>
    </row>
    <row r="7" customFormat="false" ht="21.75" hidden="false" customHeight="true" outlineLevel="0" collapsed="false">
      <c r="A7" s="208" t="s">
        <v>364</v>
      </c>
      <c r="B7" s="213" t="n">
        <f aca="false">10*B6/10000000</f>
        <v>9</v>
      </c>
      <c r="C7" s="214" t="n">
        <f aca="false">15*C6/10000000</f>
        <v>12</v>
      </c>
      <c r="D7" s="215" t="n">
        <f aca="false">25*D6/10000000</f>
        <v>15</v>
      </c>
      <c r="E7" s="216" t="n">
        <f aca="false">17*E6/10000000</f>
        <v>12.92</v>
      </c>
      <c r="F7" s="217" t="n">
        <f aca="false">8*F6/10000000</f>
        <v>7.52</v>
      </c>
    </row>
    <row r="8" customFormat="false" ht="21.75" hidden="false" customHeight="true" outlineLevel="0" collapsed="false">
      <c r="A8" s="210" t="s">
        <v>365</v>
      </c>
      <c r="B8" s="213" t="n">
        <f aca="false">14*B6/10000000</f>
        <v>12.6</v>
      </c>
      <c r="C8" s="214" t="n">
        <f aca="false">14*C6/10000000</f>
        <v>11.2</v>
      </c>
      <c r="D8" s="215" t="n">
        <f aca="false">14*D6/10000000</f>
        <v>8.4</v>
      </c>
      <c r="E8" s="216" t="n">
        <f aca="false">14*E6/10000000</f>
        <v>10.64</v>
      </c>
      <c r="F8" s="217" t="n">
        <f aca="false">14*F6/10000000</f>
        <v>13.16</v>
      </c>
    </row>
    <row r="9" customFormat="false" ht="21.75" hidden="false" customHeight="true" outlineLevel="0" collapsed="false">
      <c r="A9" s="208" t="s">
        <v>366</v>
      </c>
      <c r="B9" s="213" t="n">
        <f aca="false">B7-B8</f>
        <v>-3.6</v>
      </c>
      <c r="C9" s="214" t="n">
        <f aca="false">C7-C8</f>
        <v>0.800000000000001</v>
      </c>
      <c r="D9" s="215" t="n">
        <f aca="false">D7-D8</f>
        <v>6.6</v>
      </c>
      <c r="E9" s="216" t="n">
        <f aca="false">E7-E8</f>
        <v>2.28</v>
      </c>
      <c r="F9" s="217" t="n">
        <f aca="false">F7-F8</f>
        <v>-5.64</v>
      </c>
    </row>
    <row r="10" customFormat="false" ht="21.75" hidden="false" customHeight="true" outlineLevel="0" collapsed="false">
      <c r="A10" s="210" t="s">
        <v>367</v>
      </c>
      <c r="B10" s="47" t="n">
        <f aca="false">IF(B7&gt;0,B9/B7,0)</f>
        <v>-0.4</v>
      </c>
      <c r="C10" s="218" t="n">
        <f aca="false">IF(C7&gt;0,C9/C7,0)</f>
        <v>0.0666666666666667</v>
      </c>
      <c r="D10" s="59" t="n">
        <f aca="false">IF(D7&gt;0,D9/D7,0)</f>
        <v>0.44</v>
      </c>
      <c r="E10" s="71" t="n">
        <f aca="false">IF(E7&gt;0,E9/E7,0)</f>
        <v>0.176470588235294</v>
      </c>
      <c r="F10" s="219" t="n">
        <f aca="false">IF(F7&gt;0,F9/F7,0)</f>
        <v>-0.75</v>
      </c>
    </row>
    <row r="11" customFormat="false" ht="21.75" hidden="false" customHeight="true" outlineLevel="0" collapsed="false">
      <c r="A11" s="208" t="s">
        <v>368</v>
      </c>
      <c r="B11" s="213" t="n">
        <f aca="false">B7*0.08</f>
        <v>0.72</v>
      </c>
      <c r="C11" s="214" t="n">
        <f aca="false">C7*0.08</f>
        <v>0.96</v>
      </c>
      <c r="D11" s="215" t="n">
        <f aca="false">D7*0.08</f>
        <v>1.2</v>
      </c>
      <c r="E11" s="216" t="n">
        <f aca="false">E7*0.08</f>
        <v>1.0336</v>
      </c>
      <c r="F11" s="217" t="n">
        <f aca="false">F7*0.08</f>
        <v>0.6016</v>
      </c>
    </row>
    <row r="12" customFormat="false" ht="21.75" hidden="false" customHeight="true" outlineLevel="0" collapsed="false">
      <c r="A12" s="210" t="s">
        <v>369</v>
      </c>
      <c r="B12" s="213" t="n">
        <v>0.6</v>
      </c>
      <c r="C12" s="214" t="n">
        <v>0.6</v>
      </c>
      <c r="D12" s="215" t="n">
        <v>0.6</v>
      </c>
      <c r="E12" s="216" t="n">
        <v>0.6</v>
      </c>
      <c r="F12" s="217" t="n">
        <v>0.6</v>
      </c>
    </row>
    <row r="13" customFormat="false" ht="21.75" hidden="false" customHeight="true" outlineLevel="0" collapsed="false">
      <c r="A13" s="220" t="s">
        <v>370</v>
      </c>
      <c r="B13" s="221" t="n">
        <f aca="false">B9-B11-B12</f>
        <v>-4.92</v>
      </c>
      <c r="C13" s="222" t="n">
        <f aca="false">C9-C11-C12</f>
        <v>-0.759999999999999</v>
      </c>
      <c r="D13" s="223" t="n">
        <f aca="false">D9-D11-D12</f>
        <v>4.8</v>
      </c>
      <c r="E13" s="224" t="n">
        <f aca="false">E9-E11-E12</f>
        <v>0.646399999999999</v>
      </c>
      <c r="F13" s="225" t="n">
        <f aca="false">F9-F11-F12</f>
        <v>-6.8416</v>
      </c>
    </row>
    <row r="14" customFormat="false" ht="21.75" hidden="false" customHeight="true" outlineLevel="0" collapsed="false">
      <c r="A14" s="226" t="s">
        <v>371</v>
      </c>
      <c r="B14" s="227" t="n">
        <f aca="false">IF(B7&gt;0,B13/B7,0)</f>
        <v>-0.546666666666667</v>
      </c>
      <c r="C14" s="228" t="n">
        <f aca="false">IF(C7&gt;0,C13/C7,0)</f>
        <v>-0.0633333333333333</v>
      </c>
      <c r="D14" s="229" t="n">
        <f aca="false">IF(D7&gt;0,D13/D7,0)</f>
        <v>0.32</v>
      </c>
      <c r="E14" s="230" t="n">
        <f aca="false">IF(E7&gt;0,E13/E7,0)</f>
        <v>0.0500309597523219</v>
      </c>
      <c r="F14" s="231" t="n">
        <f aca="false">IF(F7&gt;0,F13/F7,0)</f>
        <v>-0.909787234042553</v>
      </c>
    </row>
    <row r="15" customFormat="false" ht="21.75" hidden="false" customHeight="true" outlineLevel="0" collapsed="false">
      <c r="A15" s="232" t="s">
        <v>372</v>
      </c>
      <c r="B15" s="75" t="str">
        <f aca="false">IF((10-14)&gt;0,B12*10000000/(10-14),"N/A")</f>
        <v>N/A</v>
      </c>
      <c r="C15" s="233" t="n">
        <f aca="false">IF((15-14)&gt;0,C12*10000000/(15-14),"N/A")</f>
        <v>6000000</v>
      </c>
      <c r="D15" s="234" t="n">
        <f aca="false">IF((25-14)&gt;0,D12*10000000/(25-14),"N/A")</f>
        <v>545454.545454545</v>
      </c>
      <c r="E15" s="235" t="n">
        <f aca="false">IF((17-14)&gt;0,E12*10000000/(17-14),"N/A")</f>
        <v>2000000</v>
      </c>
      <c r="F15" s="236" t="str">
        <f aca="false">IF((8-14)&gt;0,F12*10000000/(8-14),"N/A")</f>
        <v>N/A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L4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0"/>
  </cols>
  <sheetData>
    <row r="1" customFormat="false" ht="27.75" hidden="false" customHeight="true" outlineLevel="0" collapsed="false">
      <c r="A1" s="237" t="s">
        <v>373</v>
      </c>
      <c r="B1" s="237" t="s">
        <v>268</v>
      </c>
      <c r="C1" s="237" t="s">
        <v>251</v>
      </c>
      <c r="D1" s="237" t="s">
        <v>374</v>
      </c>
      <c r="E1" s="237" t="s">
        <v>375</v>
      </c>
      <c r="F1" s="237" t="s">
        <v>322</v>
      </c>
      <c r="G1" s="237" t="s">
        <v>376</v>
      </c>
      <c r="H1" s="237" t="s">
        <v>377</v>
      </c>
      <c r="I1" s="237" t="s">
        <v>378</v>
      </c>
      <c r="J1" s="237" t="s">
        <v>379</v>
      </c>
      <c r="K1" s="237" t="s">
        <v>380</v>
      </c>
      <c r="L1" s="237" t="s">
        <v>381</v>
      </c>
    </row>
    <row r="2" customFormat="false" ht="15" hidden="false" customHeight="true" outlineLevel="0" collapsed="false">
      <c r="A2" s="238" t="s">
        <v>382</v>
      </c>
      <c r="B2" s="238" t="s">
        <v>277</v>
      </c>
      <c r="C2" s="238" t="s">
        <v>258</v>
      </c>
      <c r="D2" s="238" t="s">
        <v>383</v>
      </c>
      <c r="E2" s="238" t="s">
        <v>384</v>
      </c>
      <c r="F2" s="238" t="s">
        <v>385</v>
      </c>
      <c r="G2" s="239" t="n">
        <v>13.4</v>
      </c>
      <c r="H2" s="239" t="n">
        <v>6</v>
      </c>
      <c r="I2" s="240" t="n">
        <v>5486</v>
      </c>
      <c r="J2" s="241" t="n">
        <f aca="false">G2*I2</f>
        <v>73512.4</v>
      </c>
      <c r="K2" s="241" t="n">
        <f aca="false">J2-H2*I2</f>
        <v>40596.4</v>
      </c>
      <c r="L2" s="242" t="n">
        <f aca="false">IF(J2&gt;0,K2/J2,0)</f>
        <v>0.552238805970149</v>
      </c>
    </row>
    <row r="3" customFormat="false" ht="15" hidden="false" customHeight="true" outlineLevel="0" collapsed="false">
      <c r="A3" s="243" t="s">
        <v>382</v>
      </c>
      <c r="B3" s="243" t="s">
        <v>277</v>
      </c>
      <c r="C3" s="243" t="s">
        <v>258</v>
      </c>
      <c r="D3" s="243" t="s">
        <v>383</v>
      </c>
      <c r="E3" s="243" t="s">
        <v>386</v>
      </c>
      <c r="F3" s="243" t="s">
        <v>387</v>
      </c>
      <c r="G3" s="244" t="n">
        <v>16.1</v>
      </c>
      <c r="H3" s="244" t="n">
        <v>7.5</v>
      </c>
      <c r="I3" s="245" t="n">
        <v>4996</v>
      </c>
      <c r="J3" s="246" t="n">
        <f aca="false">G3*I3</f>
        <v>80435.6</v>
      </c>
      <c r="K3" s="246" t="n">
        <f aca="false">J3-H3*I3</f>
        <v>42965.6</v>
      </c>
      <c r="L3" s="247" t="n">
        <f aca="false">IF(J3&gt;0,K3/J3,0)</f>
        <v>0.53416149068323</v>
      </c>
    </row>
    <row r="4" customFormat="false" ht="15" hidden="false" customHeight="true" outlineLevel="0" collapsed="false">
      <c r="A4" s="238" t="s">
        <v>382</v>
      </c>
      <c r="B4" s="238" t="s">
        <v>277</v>
      </c>
      <c r="C4" s="238" t="s">
        <v>258</v>
      </c>
      <c r="D4" s="238" t="s">
        <v>383</v>
      </c>
      <c r="E4" s="238" t="s">
        <v>384</v>
      </c>
      <c r="F4" s="238" t="s">
        <v>388</v>
      </c>
      <c r="G4" s="239" t="n">
        <v>11.9</v>
      </c>
      <c r="H4" s="239" t="n">
        <v>5.6</v>
      </c>
      <c r="I4" s="240" t="n">
        <v>3810</v>
      </c>
      <c r="J4" s="241" t="n">
        <f aca="false">G4*I4</f>
        <v>45339</v>
      </c>
      <c r="K4" s="241" t="n">
        <f aca="false">J4-H4*I4</f>
        <v>24003</v>
      </c>
      <c r="L4" s="242" t="n">
        <f aca="false">IF(J4&gt;0,K4/J4,0)</f>
        <v>0.529411764705882</v>
      </c>
    </row>
    <row r="5" customFormat="false" ht="15" hidden="false" customHeight="true" outlineLevel="0" collapsed="false">
      <c r="A5" s="243" t="s">
        <v>382</v>
      </c>
      <c r="B5" s="243" t="s">
        <v>277</v>
      </c>
      <c r="C5" s="243" t="s">
        <v>258</v>
      </c>
      <c r="D5" s="243" t="s">
        <v>383</v>
      </c>
      <c r="E5" s="243" t="s">
        <v>384</v>
      </c>
      <c r="F5" s="243" t="s">
        <v>389</v>
      </c>
      <c r="G5" s="244" t="n">
        <v>14</v>
      </c>
      <c r="H5" s="244" t="n">
        <v>5.3</v>
      </c>
      <c r="I5" s="245" t="n">
        <v>6753</v>
      </c>
      <c r="J5" s="246" t="n">
        <f aca="false">G5*I5</f>
        <v>94542</v>
      </c>
      <c r="K5" s="246" t="n">
        <f aca="false">J5-H5*I5</f>
        <v>58751.1</v>
      </c>
      <c r="L5" s="247" t="n">
        <f aca="false">IF(J5&gt;0,K5/J5,0)</f>
        <v>0.621428571428571</v>
      </c>
    </row>
    <row r="6" customFormat="false" ht="15" hidden="false" customHeight="true" outlineLevel="0" collapsed="false">
      <c r="A6" s="238" t="s">
        <v>382</v>
      </c>
      <c r="B6" s="238" t="s">
        <v>277</v>
      </c>
      <c r="C6" s="238" t="s">
        <v>258</v>
      </c>
      <c r="D6" s="238" t="s">
        <v>383</v>
      </c>
      <c r="E6" s="238" t="s">
        <v>384</v>
      </c>
      <c r="F6" s="238" t="s">
        <v>390</v>
      </c>
      <c r="G6" s="239" t="n">
        <v>23</v>
      </c>
      <c r="H6" s="239" t="n">
        <v>7.8</v>
      </c>
      <c r="I6" s="240" t="n">
        <v>4997</v>
      </c>
      <c r="J6" s="241" t="n">
        <f aca="false">G6*I6</f>
        <v>114931</v>
      </c>
      <c r="K6" s="241" t="n">
        <f aca="false">J6-H6*I6</f>
        <v>75954.4</v>
      </c>
      <c r="L6" s="242" t="n">
        <f aca="false">IF(J6&gt;0,K6/J6,0)</f>
        <v>0.660869565217391</v>
      </c>
    </row>
    <row r="7" customFormat="false" ht="15" hidden="false" customHeight="true" outlineLevel="0" collapsed="false">
      <c r="A7" s="243" t="s">
        <v>382</v>
      </c>
      <c r="B7" s="243" t="s">
        <v>277</v>
      </c>
      <c r="C7" s="243" t="s">
        <v>258</v>
      </c>
      <c r="D7" s="243" t="s">
        <v>383</v>
      </c>
      <c r="E7" s="243" t="s">
        <v>384</v>
      </c>
      <c r="F7" s="243" t="s">
        <v>391</v>
      </c>
      <c r="G7" s="244" t="n">
        <v>17.4</v>
      </c>
      <c r="H7" s="244" t="n">
        <v>6.7</v>
      </c>
      <c r="I7" s="245" t="n">
        <v>7829</v>
      </c>
      <c r="J7" s="246" t="n">
        <f aca="false">G7*I7</f>
        <v>136224.6</v>
      </c>
      <c r="K7" s="246" t="n">
        <f aca="false">J7-H7*I7</f>
        <v>83770.3</v>
      </c>
      <c r="L7" s="247" t="n">
        <f aca="false">IF(J7&gt;0,K7/J7,0)</f>
        <v>0.614942528735632</v>
      </c>
    </row>
    <row r="8" customFormat="false" ht="15" hidden="false" customHeight="true" outlineLevel="0" collapsed="false">
      <c r="A8" s="238" t="s">
        <v>382</v>
      </c>
      <c r="B8" s="238" t="s">
        <v>277</v>
      </c>
      <c r="C8" s="238" t="s">
        <v>258</v>
      </c>
      <c r="D8" s="238" t="s">
        <v>383</v>
      </c>
      <c r="E8" s="238" t="s">
        <v>386</v>
      </c>
      <c r="F8" s="238" t="s">
        <v>392</v>
      </c>
      <c r="G8" s="239" t="n">
        <v>14.7</v>
      </c>
      <c r="H8" s="239" t="n">
        <v>6.7</v>
      </c>
      <c r="I8" s="240" t="n">
        <v>3817</v>
      </c>
      <c r="J8" s="241" t="n">
        <f aca="false">G8*I8</f>
        <v>56109.9</v>
      </c>
      <c r="K8" s="241" t="n">
        <f aca="false">J8-H8*I8</f>
        <v>30536</v>
      </c>
      <c r="L8" s="242" t="n">
        <f aca="false">IF(J8&gt;0,K8/J8,0)</f>
        <v>0.54421768707483</v>
      </c>
    </row>
    <row r="9" customFormat="false" ht="15" hidden="false" customHeight="true" outlineLevel="0" collapsed="false">
      <c r="A9" s="243" t="s">
        <v>382</v>
      </c>
      <c r="B9" s="243" t="s">
        <v>277</v>
      </c>
      <c r="C9" s="243" t="s">
        <v>258</v>
      </c>
      <c r="D9" s="243" t="s">
        <v>383</v>
      </c>
      <c r="E9" s="243" t="s">
        <v>384</v>
      </c>
      <c r="F9" s="243" t="s">
        <v>393</v>
      </c>
      <c r="G9" s="244" t="n">
        <v>13.3</v>
      </c>
      <c r="H9" s="244" t="n">
        <v>5.4</v>
      </c>
      <c r="I9" s="245" t="n">
        <v>6676</v>
      </c>
      <c r="J9" s="246" t="n">
        <f aca="false">G9*I9</f>
        <v>88790.8</v>
      </c>
      <c r="K9" s="246" t="n">
        <f aca="false">J9-H9*I9</f>
        <v>52740.4</v>
      </c>
      <c r="L9" s="247" t="n">
        <f aca="false">IF(J9&gt;0,K9/J9,0)</f>
        <v>0.593984962406015</v>
      </c>
    </row>
    <row r="10" customFormat="false" ht="15" hidden="false" customHeight="true" outlineLevel="0" collapsed="false">
      <c r="A10" s="238" t="s">
        <v>382</v>
      </c>
      <c r="B10" s="238" t="s">
        <v>277</v>
      </c>
      <c r="C10" s="238" t="s">
        <v>258</v>
      </c>
      <c r="D10" s="238" t="s">
        <v>383</v>
      </c>
      <c r="E10" s="238" t="s">
        <v>384</v>
      </c>
      <c r="F10" s="238" t="s">
        <v>394</v>
      </c>
      <c r="G10" s="239" t="n">
        <v>15.1</v>
      </c>
      <c r="H10" s="239" t="n">
        <v>5.3</v>
      </c>
      <c r="I10" s="240" t="n">
        <v>2152</v>
      </c>
      <c r="J10" s="241" t="n">
        <f aca="false">G10*I10</f>
        <v>32495.2</v>
      </c>
      <c r="K10" s="241" t="n">
        <f aca="false">J10-H10*I10</f>
        <v>21089.6</v>
      </c>
      <c r="L10" s="242" t="n">
        <f aca="false">IF(J10&gt;0,K10/J10,0)</f>
        <v>0.649006622516556</v>
      </c>
    </row>
    <row r="11" customFormat="false" ht="15" hidden="false" customHeight="true" outlineLevel="0" collapsed="false">
      <c r="A11" s="243" t="s">
        <v>382</v>
      </c>
      <c r="B11" s="243" t="s">
        <v>277</v>
      </c>
      <c r="C11" s="243" t="s">
        <v>258</v>
      </c>
      <c r="D11" s="243" t="s">
        <v>383</v>
      </c>
      <c r="E11" s="243" t="s">
        <v>384</v>
      </c>
      <c r="F11" s="243" t="s">
        <v>395</v>
      </c>
      <c r="G11" s="244" t="n">
        <v>13.8</v>
      </c>
      <c r="H11" s="244" t="n">
        <v>6.6</v>
      </c>
      <c r="I11" s="245" t="n">
        <v>1229</v>
      </c>
      <c r="J11" s="246" t="n">
        <f aca="false">G11*I11</f>
        <v>16960.2</v>
      </c>
      <c r="K11" s="246" t="n">
        <f aca="false">J11-H11*I11</f>
        <v>8848.8</v>
      </c>
      <c r="L11" s="247" t="n">
        <f aca="false">IF(J11&gt;0,K11/J11,0)</f>
        <v>0.521739130434783</v>
      </c>
    </row>
    <row r="12" customFormat="false" ht="15" hidden="false" customHeight="true" outlineLevel="0" collapsed="false">
      <c r="A12" s="238" t="s">
        <v>382</v>
      </c>
      <c r="B12" s="238" t="s">
        <v>277</v>
      </c>
      <c r="C12" s="238" t="s">
        <v>258</v>
      </c>
      <c r="D12" s="238" t="s">
        <v>383</v>
      </c>
      <c r="E12" s="238" t="s">
        <v>396</v>
      </c>
      <c r="F12" s="238" t="s">
        <v>397</v>
      </c>
      <c r="G12" s="239" t="n">
        <v>18.2</v>
      </c>
      <c r="H12" s="239" t="n">
        <v>6.5</v>
      </c>
      <c r="I12" s="240" t="n">
        <v>6396</v>
      </c>
      <c r="J12" s="241" t="n">
        <f aca="false">G12*I12</f>
        <v>116407.2</v>
      </c>
      <c r="K12" s="241" t="n">
        <f aca="false">J12-H12*I12</f>
        <v>74833.2</v>
      </c>
      <c r="L12" s="242" t="n">
        <f aca="false">IF(J12&gt;0,K12/J12,0)</f>
        <v>0.642857142857143</v>
      </c>
    </row>
    <row r="13" customFormat="false" ht="15" hidden="false" customHeight="true" outlineLevel="0" collapsed="false">
      <c r="A13" s="243" t="s">
        <v>382</v>
      </c>
      <c r="B13" s="243" t="s">
        <v>277</v>
      </c>
      <c r="C13" s="243" t="s">
        <v>258</v>
      </c>
      <c r="D13" s="243" t="s">
        <v>383</v>
      </c>
      <c r="E13" s="243" t="s">
        <v>384</v>
      </c>
      <c r="F13" s="243" t="s">
        <v>398</v>
      </c>
      <c r="G13" s="244" t="n">
        <v>18.2</v>
      </c>
      <c r="H13" s="244" t="n">
        <v>6.8</v>
      </c>
      <c r="I13" s="245" t="n">
        <v>2958</v>
      </c>
      <c r="J13" s="246" t="n">
        <f aca="false">G13*I13</f>
        <v>53835.6</v>
      </c>
      <c r="K13" s="246" t="n">
        <f aca="false">J13-H13*I13</f>
        <v>33721.2</v>
      </c>
      <c r="L13" s="247" t="n">
        <f aca="false">IF(J13&gt;0,K13/J13,0)</f>
        <v>0.626373626373626</v>
      </c>
    </row>
    <row r="14" customFormat="false" ht="15" hidden="false" customHeight="true" outlineLevel="0" collapsed="false">
      <c r="A14" s="238" t="s">
        <v>382</v>
      </c>
      <c r="B14" s="238" t="s">
        <v>277</v>
      </c>
      <c r="C14" s="238" t="s">
        <v>258</v>
      </c>
      <c r="D14" s="238" t="s">
        <v>399</v>
      </c>
      <c r="E14" s="238" t="s">
        <v>400</v>
      </c>
      <c r="F14" s="238" t="s">
        <v>385</v>
      </c>
      <c r="G14" s="239" t="n">
        <v>16.8</v>
      </c>
      <c r="H14" s="239" t="n">
        <v>7.1</v>
      </c>
      <c r="I14" s="240" t="n">
        <v>3084</v>
      </c>
      <c r="J14" s="241" t="n">
        <f aca="false">G14*I14</f>
        <v>51811.2</v>
      </c>
      <c r="K14" s="241" t="n">
        <f aca="false">J14-H14*I14</f>
        <v>29914.8</v>
      </c>
      <c r="L14" s="242" t="n">
        <f aca="false">IF(J14&gt;0,K14/J14,0)</f>
        <v>0.577380952380952</v>
      </c>
    </row>
    <row r="15" customFormat="false" ht="15" hidden="false" customHeight="true" outlineLevel="0" collapsed="false">
      <c r="A15" s="243" t="s">
        <v>382</v>
      </c>
      <c r="B15" s="243" t="s">
        <v>277</v>
      </c>
      <c r="C15" s="243" t="s">
        <v>258</v>
      </c>
      <c r="D15" s="243" t="s">
        <v>399</v>
      </c>
      <c r="E15" s="243" t="s">
        <v>400</v>
      </c>
      <c r="F15" s="243" t="s">
        <v>387</v>
      </c>
      <c r="G15" s="244" t="n">
        <v>16.3</v>
      </c>
      <c r="H15" s="244" t="n">
        <v>6.5</v>
      </c>
      <c r="I15" s="245" t="n">
        <v>2519</v>
      </c>
      <c r="J15" s="246" t="n">
        <f aca="false">G15*I15</f>
        <v>41059.7</v>
      </c>
      <c r="K15" s="246" t="n">
        <f aca="false">J15-H15*I15</f>
        <v>24686.2</v>
      </c>
      <c r="L15" s="247" t="n">
        <f aca="false">IF(J15&gt;0,K15/J15,0)</f>
        <v>0.601226993865031</v>
      </c>
    </row>
    <row r="16" customFormat="false" ht="15" hidden="false" customHeight="true" outlineLevel="0" collapsed="false">
      <c r="A16" s="238" t="s">
        <v>382</v>
      </c>
      <c r="B16" s="238" t="s">
        <v>277</v>
      </c>
      <c r="C16" s="238" t="s">
        <v>258</v>
      </c>
      <c r="D16" s="238" t="s">
        <v>399</v>
      </c>
      <c r="E16" s="238" t="s">
        <v>401</v>
      </c>
      <c r="F16" s="238" t="s">
        <v>388</v>
      </c>
      <c r="G16" s="239" t="n">
        <v>17.2</v>
      </c>
      <c r="H16" s="239" t="n">
        <v>7.9</v>
      </c>
      <c r="I16" s="240" t="n">
        <v>2381</v>
      </c>
      <c r="J16" s="241" t="n">
        <f aca="false">G16*I16</f>
        <v>40953.2</v>
      </c>
      <c r="K16" s="241" t="n">
        <f aca="false">J16-H16*I16</f>
        <v>22143.3</v>
      </c>
      <c r="L16" s="242" t="n">
        <f aca="false">IF(J16&gt;0,K16/J16,0)</f>
        <v>0.540697674418605</v>
      </c>
    </row>
    <row r="17" customFormat="false" ht="15" hidden="false" customHeight="true" outlineLevel="0" collapsed="false">
      <c r="A17" s="243" t="s">
        <v>382</v>
      </c>
      <c r="B17" s="243" t="s">
        <v>277</v>
      </c>
      <c r="C17" s="243" t="s">
        <v>258</v>
      </c>
      <c r="D17" s="243" t="s">
        <v>399</v>
      </c>
      <c r="E17" s="243" t="s">
        <v>400</v>
      </c>
      <c r="F17" s="243" t="s">
        <v>389</v>
      </c>
      <c r="G17" s="244" t="n">
        <v>15</v>
      </c>
      <c r="H17" s="244" t="n">
        <v>5.5</v>
      </c>
      <c r="I17" s="245" t="n">
        <v>676</v>
      </c>
      <c r="J17" s="246" t="n">
        <f aca="false">G17*I17</f>
        <v>10140</v>
      </c>
      <c r="K17" s="246" t="n">
        <f aca="false">J17-H17*I17</f>
        <v>6422</v>
      </c>
      <c r="L17" s="247" t="n">
        <f aca="false">IF(J17&gt;0,K17/J17,0)</f>
        <v>0.633333333333333</v>
      </c>
    </row>
    <row r="18" customFormat="false" ht="15" hidden="false" customHeight="true" outlineLevel="0" collapsed="false">
      <c r="A18" s="238" t="s">
        <v>382</v>
      </c>
      <c r="B18" s="238" t="s">
        <v>277</v>
      </c>
      <c r="C18" s="238" t="s">
        <v>258</v>
      </c>
      <c r="D18" s="238" t="s">
        <v>399</v>
      </c>
      <c r="E18" s="238" t="s">
        <v>401</v>
      </c>
      <c r="F18" s="238" t="s">
        <v>390</v>
      </c>
      <c r="G18" s="239" t="n">
        <v>14.8</v>
      </c>
      <c r="H18" s="239" t="n">
        <v>5.2</v>
      </c>
      <c r="I18" s="240" t="n">
        <v>4050</v>
      </c>
      <c r="J18" s="241" t="n">
        <f aca="false">G18*I18</f>
        <v>59940</v>
      </c>
      <c r="K18" s="241" t="n">
        <f aca="false">J18-H18*I18</f>
        <v>38880</v>
      </c>
      <c r="L18" s="242" t="n">
        <f aca="false">IF(J18&gt;0,K18/J18,0)</f>
        <v>0.648648648648649</v>
      </c>
    </row>
    <row r="19" customFormat="false" ht="15" hidden="false" customHeight="true" outlineLevel="0" collapsed="false">
      <c r="A19" s="243" t="s">
        <v>382</v>
      </c>
      <c r="B19" s="243" t="s">
        <v>277</v>
      </c>
      <c r="C19" s="243" t="s">
        <v>258</v>
      </c>
      <c r="D19" s="243" t="s">
        <v>399</v>
      </c>
      <c r="E19" s="243" t="s">
        <v>401</v>
      </c>
      <c r="F19" s="243" t="s">
        <v>391</v>
      </c>
      <c r="G19" s="244" t="n">
        <v>15.2</v>
      </c>
      <c r="H19" s="244" t="n">
        <v>6</v>
      </c>
      <c r="I19" s="245" t="n">
        <v>2735</v>
      </c>
      <c r="J19" s="246" t="n">
        <f aca="false">G19*I19</f>
        <v>41572</v>
      </c>
      <c r="K19" s="246" t="n">
        <f aca="false">J19-H19*I19</f>
        <v>25162</v>
      </c>
      <c r="L19" s="247" t="n">
        <f aca="false">IF(J19&gt;0,K19/J19,0)</f>
        <v>0.605263157894737</v>
      </c>
    </row>
    <row r="20" customFormat="false" ht="15" hidden="false" customHeight="true" outlineLevel="0" collapsed="false">
      <c r="A20" s="238" t="s">
        <v>382</v>
      </c>
      <c r="B20" s="238" t="s">
        <v>277</v>
      </c>
      <c r="C20" s="238" t="s">
        <v>258</v>
      </c>
      <c r="D20" s="238" t="s">
        <v>399</v>
      </c>
      <c r="E20" s="238" t="s">
        <v>400</v>
      </c>
      <c r="F20" s="238" t="s">
        <v>392</v>
      </c>
      <c r="G20" s="239" t="n">
        <v>11.1</v>
      </c>
      <c r="H20" s="239" t="n">
        <v>5.2</v>
      </c>
      <c r="I20" s="240" t="n">
        <v>1714</v>
      </c>
      <c r="J20" s="241" t="n">
        <f aca="false">G20*I20</f>
        <v>19025.4</v>
      </c>
      <c r="K20" s="241" t="n">
        <f aca="false">J20-H20*I20</f>
        <v>10112.6</v>
      </c>
      <c r="L20" s="242" t="n">
        <f aca="false">IF(J20&gt;0,K20/J20,0)</f>
        <v>0.531531531531531</v>
      </c>
    </row>
    <row r="21" customFormat="false" ht="15" hidden="false" customHeight="true" outlineLevel="0" collapsed="false">
      <c r="A21" s="243" t="s">
        <v>382</v>
      </c>
      <c r="B21" s="243" t="s">
        <v>277</v>
      </c>
      <c r="C21" s="243" t="s">
        <v>258</v>
      </c>
      <c r="D21" s="243" t="s">
        <v>399</v>
      </c>
      <c r="E21" s="243" t="s">
        <v>400</v>
      </c>
      <c r="F21" s="243" t="s">
        <v>393</v>
      </c>
      <c r="G21" s="244" t="n">
        <v>14.6</v>
      </c>
      <c r="H21" s="244" t="n">
        <v>7</v>
      </c>
      <c r="I21" s="245" t="n">
        <v>3656</v>
      </c>
      <c r="J21" s="246" t="n">
        <f aca="false">G21*I21</f>
        <v>53377.6</v>
      </c>
      <c r="K21" s="246" t="n">
        <f aca="false">J21-H21*I21</f>
        <v>27785.6</v>
      </c>
      <c r="L21" s="247" t="n">
        <f aca="false">IF(J21&gt;0,K21/J21,0)</f>
        <v>0.520547945205479</v>
      </c>
    </row>
    <row r="22" customFormat="false" ht="15" hidden="false" customHeight="true" outlineLevel="0" collapsed="false">
      <c r="A22" s="238" t="s">
        <v>382</v>
      </c>
      <c r="B22" s="238" t="s">
        <v>277</v>
      </c>
      <c r="C22" s="238" t="s">
        <v>258</v>
      </c>
      <c r="D22" s="238" t="s">
        <v>399</v>
      </c>
      <c r="E22" s="238" t="s">
        <v>400</v>
      </c>
      <c r="F22" s="238" t="s">
        <v>394</v>
      </c>
      <c r="G22" s="239" t="n">
        <v>20.2</v>
      </c>
      <c r="H22" s="239" t="n">
        <v>6.7</v>
      </c>
      <c r="I22" s="240" t="n">
        <v>2505</v>
      </c>
      <c r="J22" s="241" t="n">
        <f aca="false">G22*I22</f>
        <v>50601</v>
      </c>
      <c r="K22" s="241" t="n">
        <f aca="false">J22-H22*I22</f>
        <v>33817.5</v>
      </c>
      <c r="L22" s="242" t="n">
        <f aca="false">IF(J22&gt;0,K22/J22,0)</f>
        <v>0.668316831683168</v>
      </c>
    </row>
    <row r="23" customFormat="false" ht="15" hidden="false" customHeight="true" outlineLevel="0" collapsed="false">
      <c r="A23" s="243" t="s">
        <v>382</v>
      </c>
      <c r="B23" s="243" t="s">
        <v>277</v>
      </c>
      <c r="C23" s="243" t="s">
        <v>258</v>
      </c>
      <c r="D23" s="243" t="s">
        <v>399</v>
      </c>
      <c r="E23" s="243" t="s">
        <v>401</v>
      </c>
      <c r="F23" s="243" t="s">
        <v>395</v>
      </c>
      <c r="G23" s="244" t="n">
        <v>18.6</v>
      </c>
      <c r="H23" s="244" t="n">
        <v>6.2</v>
      </c>
      <c r="I23" s="245" t="n">
        <v>601</v>
      </c>
      <c r="J23" s="246" t="n">
        <f aca="false">G23*I23</f>
        <v>11178.6</v>
      </c>
      <c r="K23" s="246" t="n">
        <f aca="false">J23-H23*I23</f>
        <v>7452.4</v>
      </c>
      <c r="L23" s="247" t="n">
        <f aca="false">IF(J23&gt;0,K23/J23,0)</f>
        <v>0.666666666666667</v>
      </c>
    </row>
    <row r="24" customFormat="false" ht="15" hidden="false" customHeight="true" outlineLevel="0" collapsed="false">
      <c r="A24" s="238" t="s">
        <v>382</v>
      </c>
      <c r="B24" s="238" t="s">
        <v>277</v>
      </c>
      <c r="C24" s="238" t="s">
        <v>258</v>
      </c>
      <c r="D24" s="238" t="s">
        <v>399</v>
      </c>
      <c r="E24" s="238" t="s">
        <v>402</v>
      </c>
      <c r="F24" s="238" t="s">
        <v>397</v>
      </c>
      <c r="G24" s="239" t="n">
        <v>17.8</v>
      </c>
      <c r="H24" s="239" t="n">
        <v>6.1</v>
      </c>
      <c r="I24" s="240" t="n">
        <v>2721</v>
      </c>
      <c r="J24" s="241" t="n">
        <f aca="false">G24*I24</f>
        <v>48433.8</v>
      </c>
      <c r="K24" s="241" t="n">
        <f aca="false">J24-H24*I24</f>
        <v>31835.7</v>
      </c>
      <c r="L24" s="242" t="n">
        <f aca="false">IF(J24&gt;0,K24/J24,0)</f>
        <v>0.657303370786517</v>
      </c>
    </row>
    <row r="25" customFormat="false" ht="15" hidden="false" customHeight="true" outlineLevel="0" collapsed="false">
      <c r="A25" s="243" t="s">
        <v>382</v>
      </c>
      <c r="B25" s="243" t="s">
        <v>277</v>
      </c>
      <c r="C25" s="243" t="s">
        <v>258</v>
      </c>
      <c r="D25" s="243" t="s">
        <v>399</v>
      </c>
      <c r="E25" s="243" t="s">
        <v>401</v>
      </c>
      <c r="F25" s="243" t="s">
        <v>398</v>
      </c>
      <c r="G25" s="244" t="n">
        <v>16</v>
      </c>
      <c r="H25" s="244" t="n">
        <v>7.3</v>
      </c>
      <c r="I25" s="245" t="n">
        <v>1614</v>
      </c>
      <c r="J25" s="246" t="n">
        <f aca="false">G25*I25</f>
        <v>25824</v>
      </c>
      <c r="K25" s="246" t="n">
        <f aca="false">J25-H25*I25</f>
        <v>14041.8</v>
      </c>
      <c r="L25" s="247" t="n">
        <f aca="false">IF(J25&gt;0,K25/J25,0)</f>
        <v>0.54375</v>
      </c>
    </row>
    <row r="26" customFormat="false" ht="15" hidden="false" customHeight="true" outlineLevel="0" collapsed="false">
      <c r="A26" s="238" t="s">
        <v>382</v>
      </c>
      <c r="B26" s="238" t="s">
        <v>277</v>
      </c>
      <c r="C26" s="238" t="s">
        <v>258</v>
      </c>
      <c r="D26" s="238" t="s">
        <v>403</v>
      </c>
      <c r="E26" s="238" t="s">
        <v>404</v>
      </c>
      <c r="F26" s="238" t="s">
        <v>385</v>
      </c>
      <c r="G26" s="239" t="n">
        <v>21.4</v>
      </c>
      <c r="H26" s="239" t="n">
        <v>7.8</v>
      </c>
      <c r="I26" s="240" t="n">
        <v>811</v>
      </c>
      <c r="J26" s="241" t="n">
        <f aca="false">G26*I26</f>
        <v>17355.4</v>
      </c>
      <c r="K26" s="241" t="n">
        <f aca="false">J26-H26*I26</f>
        <v>11029.6</v>
      </c>
      <c r="L26" s="242" t="n">
        <f aca="false">IF(J26&gt;0,K26/J26,0)</f>
        <v>0.635514018691589</v>
      </c>
    </row>
    <row r="27" customFormat="false" ht="15" hidden="false" customHeight="true" outlineLevel="0" collapsed="false">
      <c r="A27" s="243" t="s">
        <v>382</v>
      </c>
      <c r="B27" s="243" t="s">
        <v>277</v>
      </c>
      <c r="C27" s="243" t="s">
        <v>258</v>
      </c>
      <c r="D27" s="243" t="s">
        <v>403</v>
      </c>
      <c r="E27" s="243" t="s">
        <v>405</v>
      </c>
      <c r="F27" s="243" t="s">
        <v>387</v>
      </c>
      <c r="G27" s="244" t="n">
        <v>21.9</v>
      </c>
      <c r="H27" s="244" t="n">
        <v>6.6</v>
      </c>
      <c r="I27" s="245" t="n">
        <v>2721</v>
      </c>
      <c r="J27" s="246" t="n">
        <f aca="false">G27*I27</f>
        <v>59589.9</v>
      </c>
      <c r="K27" s="246" t="n">
        <f aca="false">J27-H27*I27</f>
        <v>41631.3</v>
      </c>
      <c r="L27" s="247" t="n">
        <f aca="false">IF(J27&gt;0,K27/J27,0)</f>
        <v>0.698630136986301</v>
      </c>
    </row>
    <row r="28" customFormat="false" ht="15" hidden="false" customHeight="true" outlineLevel="0" collapsed="false">
      <c r="A28" s="238" t="s">
        <v>382</v>
      </c>
      <c r="B28" s="238" t="s">
        <v>277</v>
      </c>
      <c r="C28" s="238" t="s">
        <v>258</v>
      </c>
      <c r="D28" s="238" t="s">
        <v>403</v>
      </c>
      <c r="E28" s="238" t="s">
        <v>404</v>
      </c>
      <c r="F28" s="238" t="s">
        <v>388</v>
      </c>
      <c r="G28" s="239" t="n">
        <v>15.2</v>
      </c>
      <c r="H28" s="239" t="n">
        <v>5.8</v>
      </c>
      <c r="I28" s="240" t="n">
        <v>1374</v>
      </c>
      <c r="J28" s="241" t="n">
        <f aca="false">G28*I28</f>
        <v>20884.8</v>
      </c>
      <c r="K28" s="241" t="n">
        <f aca="false">J28-H28*I28</f>
        <v>12915.6</v>
      </c>
      <c r="L28" s="242" t="n">
        <f aca="false">IF(J28&gt;0,K28/J28,0)</f>
        <v>0.618421052631579</v>
      </c>
    </row>
    <row r="29" customFormat="false" ht="15" hidden="false" customHeight="true" outlineLevel="0" collapsed="false">
      <c r="A29" s="243" t="s">
        <v>382</v>
      </c>
      <c r="B29" s="243" t="s">
        <v>277</v>
      </c>
      <c r="C29" s="243" t="s">
        <v>258</v>
      </c>
      <c r="D29" s="243" t="s">
        <v>403</v>
      </c>
      <c r="E29" s="243" t="s">
        <v>406</v>
      </c>
      <c r="F29" s="243" t="s">
        <v>389</v>
      </c>
      <c r="G29" s="244" t="n">
        <v>17.6</v>
      </c>
      <c r="H29" s="244" t="n">
        <v>7.9</v>
      </c>
      <c r="I29" s="245" t="n">
        <v>840</v>
      </c>
      <c r="J29" s="246" t="n">
        <f aca="false">G29*I29</f>
        <v>14784</v>
      </c>
      <c r="K29" s="246" t="n">
        <f aca="false">J29-H29*I29</f>
        <v>8148</v>
      </c>
      <c r="L29" s="247" t="n">
        <f aca="false">IF(J29&gt;0,K29/J29,0)</f>
        <v>0.551136363636364</v>
      </c>
    </row>
    <row r="30" customFormat="false" ht="15" hidden="false" customHeight="true" outlineLevel="0" collapsed="false">
      <c r="A30" s="238" t="s">
        <v>382</v>
      </c>
      <c r="B30" s="238" t="s">
        <v>277</v>
      </c>
      <c r="C30" s="238" t="s">
        <v>258</v>
      </c>
      <c r="D30" s="238" t="s">
        <v>403</v>
      </c>
      <c r="E30" s="238" t="s">
        <v>406</v>
      </c>
      <c r="F30" s="238" t="s">
        <v>390</v>
      </c>
      <c r="G30" s="239" t="n">
        <v>14.1</v>
      </c>
      <c r="H30" s="239" t="n">
        <v>7</v>
      </c>
      <c r="I30" s="240" t="n">
        <v>2755</v>
      </c>
      <c r="J30" s="241" t="n">
        <f aca="false">G30*I30</f>
        <v>38845.5</v>
      </c>
      <c r="K30" s="241" t="n">
        <f aca="false">J30-H30*I30</f>
        <v>19560.5</v>
      </c>
      <c r="L30" s="242" t="n">
        <f aca="false">IF(J30&gt;0,K30/J30,0)</f>
        <v>0.50354609929078</v>
      </c>
    </row>
    <row r="31" customFormat="false" ht="15" hidden="false" customHeight="true" outlineLevel="0" collapsed="false">
      <c r="A31" s="243" t="s">
        <v>382</v>
      </c>
      <c r="B31" s="243" t="s">
        <v>277</v>
      </c>
      <c r="C31" s="243" t="s">
        <v>258</v>
      </c>
      <c r="D31" s="243" t="s">
        <v>403</v>
      </c>
      <c r="E31" s="243" t="s">
        <v>404</v>
      </c>
      <c r="F31" s="243" t="s">
        <v>391</v>
      </c>
      <c r="G31" s="244" t="n">
        <v>11.6</v>
      </c>
      <c r="H31" s="244" t="n">
        <v>5.8</v>
      </c>
      <c r="I31" s="245" t="n">
        <v>1550</v>
      </c>
      <c r="J31" s="246" t="n">
        <f aca="false">G31*I31</f>
        <v>17980</v>
      </c>
      <c r="K31" s="246" t="n">
        <f aca="false">J31-H31*I31</f>
        <v>8990</v>
      </c>
      <c r="L31" s="247" t="n">
        <f aca="false">IF(J31&gt;0,K31/J31,0)</f>
        <v>0.5</v>
      </c>
    </row>
    <row r="32" customFormat="false" ht="15" hidden="false" customHeight="true" outlineLevel="0" collapsed="false">
      <c r="A32" s="238" t="s">
        <v>382</v>
      </c>
      <c r="B32" s="238" t="s">
        <v>277</v>
      </c>
      <c r="C32" s="238" t="s">
        <v>258</v>
      </c>
      <c r="D32" s="238" t="s">
        <v>403</v>
      </c>
      <c r="E32" s="238" t="s">
        <v>405</v>
      </c>
      <c r="F32" s="238" t="s">
        <v>392</v>
      </c>
      <c r="G32" s="239" t="n">
        <v>16.8</v>
      </c>
      <c r="H32" s="239" t="n">
        <v>6.8</v>
      </c>
      <c r="I32" s="240" t="n">
        <v>692</v>
      </c>
      <c r="J32" s="241" t="n">
        <f aca="false">G32*I32</f>
        <v>11625.6</v>
      </c>
      <c r="K32" s="241" t="n">
        <f aca="false">J32-H32*I32</f>
        <v>6920</v>
      </c>
      <c r="L32" s="242" t="n">
        <f aca="false">IF(J32&gt;0,K32/J32,0)</f>
        <v>0.595238095238095</v>
      </c>
    </row>
    <row r="33" customFormat="false" ht="15" hidden="false" customHeight="true" outlineLevel="0" collapsed="false">
      <c r="A33" s="243" t="s">
        <v>382</v>
      </c>
      <c r="B33" s="243" t="s">
        <v>277</v>
      </c>
      <c r="C33" s="243" t="s">
        <v>258</v>
      </c>
      <c r="D33" s="243" t="s">
        <v>403</v>
      </c>
      <c r="E33" s="243" t="s">
        <v>404</v>
      </c>
      <c r="F33" s="243" t="s">
        <v>393</v>
      </c>
      <c r="G33" s="244" t="n">
        <v>23.6</v>
      </c>
      <c r="H33" s="244" t="n">
        <v>7.9</v>
      </c>
      <c r="I33" s="245" t="n">
        <v>2488</v>
      </c>
      <c r="J33" s="246" t="n">
        <f aca="false">G33*I33</f>
        <v>58716.8</v>
      </c>
      <c r="K33" s="246" t="n">
        <f aca="false">J33-H33*I33</f>
        <v>39061.6</v>
      </c>
      <c r="L33" s="247" t="n">
        <f aca="false">IF(J33&gt;0,K33/J33,0)</f>
        <v>0.665254237288136</v>
      </c>
    </row>
    <row r="34" customFormat="false" ht="15" hidden="false" customHeight="true" outlineLevel="0" collapsed="false">
      <c r="A34" s="238" t="s">
        <v>382</v>
      </c>
      <c r="B34" s="238" t="s">
        <v>277</v>
      </c>
      <c r="C34" s="238" t="s">
        <v>258</v>
      </c>
      <c r="D34" s="238" t="s">
        <v>403</v>
      </c>
      <c r="E34" s="238" t="s">
        <v>405</v>
      </c>
      <c r="F34" s="238" t="s">
        <v>394</v>
      </c>
      <c r="G34" s="239" t="n">
        <v>24.4</v>
      </c>
      <c r="H34" s="239" t="n">
        <v>7.7</v>
      </c>
      <c r="I34" s="240" t="n">
        <v>2882</v>
      </c>
      <c r="J34" s="241" t="n">
        <f aca="false">G34*I34</f>
        <v>70320.8</v>
      </c>
      <c r="K34" s="241" t="n">
        <f aca="false">J34-H34*I34</f>
        <v>48129.4</v>
      </c>
      <c r="L34" s="242" t="n">
        <f aca="false">IF(J34&gt;0,K34/J34,0)</f>
        <v>0.684426229508197</v>
      </c>
    </row>
    <row r="35" customFormat="false" ht="15" hidden="false" customHeight="true" outlineLevel="0" collapsed="false">
      <c r="A35" s="243" t="s">
        <v>382</v>
      </c>
      <c r="B35" s="243" t="s">
        <v>277</v>
      </c>
      <c r="C35" s="243" t="s">
        <v>258</v>
      </c>
      <c r="D35" s="243" t="s">
        <v>403</v>
      </c>
      <c r="E35" s="243" t="s">
        <v>405</v>
      </c>
      <c r="F35" s="243" t="s">
        <v>395</v>
      </c>
      <c r="G35" s="244" t="n">
        <v>16.1</v>
      </c>
      <c r="H35" s="244" t="n">
        <v>6.2</v>
      </c>
      <c r="I35" s="245" t="n">
        <v>627</v>
      </c>
      <c r="J35" s="246" t="n">
        <f aca="false">G35*I35</f>
        <v>10094.7</v>
      </c>
      <c r="K35" s="246" t="n">
        <f aca="false">J35-H35*I35</f>
        <v>6207.3</v>
      </c>
      <c r="L35" s="247" t="n">
        <f aca="false">IF(J35&gt;0,K35/J35,0)</f>
        <v>0.614906832298137</v>
      </c>
    </row>
    <row r="36" customFormat="false" ht="15" hidden="false" customHeight="true" outlineLevel="0" collapsed="false">
      <c r="A36" s="238" t="s">
        <v>382</v>
      </c>
      <c r="B36" s="238" t="s">
        <v>277</v>
      </c>
      <c r="C36" s="238" t="s">
        <v>258</v>
      </c>
      <c r="D36" s="238" t="s">
        <v>403</v>
      </c>
      <c r="E36" s="238" t="s">
        <v>404</v>
      </c>
      <c r="F36" s="238" t="s">
        <v>397</v>
      </c>
      <c r="G36" s="239" t="n">
        <v>14.2</v>
      </c>
      <c r="H36" s="239" t="n">
        <v>6.2</v>
      </c>
      <c r="I36" s="240" t="n">
        <v>3205</v>
      </c>
      <c r="J36" s="241" t="n">
        <f aca="false">G36*I36</f>
        <v>45511</v>
      </c>
      <c r="K36" s="241" t="n">
        <f aca="false">J36-H36*I36</f>
        <v>25640</v>
      </c>
      <c r="L36" s="242" t="n">
        <f aca="false">IF(J36&gt;0,K36/J36,0)</f>
        <v>0.563380281690141</v>
      </c>
    </row>
    <row r="37" customFormat="false" ht="15" hidden="false" customHeight="true" outlineLevel="0" collapsed="false">
      <c r="A37" s="243" t="s">
        <v>382</v>
      </c>
      <c r="B37" s="243" t="s">
        <v>277</v>
      </c>
      <c r="C37" s="243" t="s">
        <v>258</v>
      </c>
      <c r="D37" s="243" t="s">
        <v>403</v>
      </c>
      <c r="E37" s="243" t="s">
        <v>406</v>
      </c>
      <c r="F37" s="243" t="s">
        <v>398</v>
      </c>
      <c r="G37" s="244" t="n">
        <v>13.8</v>
      </c>
      <c r="H37" s="244" t="n">
        <v>5.5</v>
      </c>
      <c r="I37" s="245" t="n">
        <v>478</v>
      </c>
      <c r="J37" s="246" t="n">
        <f aca="false">G37*I37</f>
        <v>6596.4</v>
      </c>
      <c r="K37" s="246" t="n">
        <f aca="false">J37-H37*I37</f>
        <v>3967.4</v>
      </c>
      <c r="L37" s="247" t="n">
        <f aca="false">IF(J37&gt;0,K37/J37,0)</f>
        <v>0.601449275362319</v>
      </c>
    </row>
    <row r="38" customFormat="false" ht="15" hidden="false" customHeight="true" outlineLevel="0" collapsed="false">
      <c r="A38" s="238" t="s">
        <v>407</v>
      </c>
      <c r="B38" s="238" t="s">
        <v>283</v>
      </c>
      <c r="C38" s="238" t="s">
        <v>258</v>
      </c>
      <c r="D38" s="238" t="s">
        <v>383</v>
      </c>
      <c r="E38" s="238" t="s">
        <v>386</v>
      </c>
      <c r="F38" s="238" t="s">
        <v>385</v>
      </c>
      <c r="G38" s="239" t="n">
        <v>23.3</v>
      </c>
      <c r="H38" s="239" t="n">
        <v>8.3</v>
      </c>
      <c r="I38" s="240" t="n">
        <v>7632</v>
      </c>
      <c r="J38" s="241" t="n">
        <f aca="false">G38*I38</f>
        <v>177825.6</v>
      </c>
      <c r="K38" s="241" t="n">
        <f aca="false">J38-H38*I38</f>
        <v>114480</v>
      </c>
      <c r="L38" s="242" t="n">
        <f aca="false">IF(J38&gt;0,K38/J38,0)</f>
        <v>0.643776824034335</v>
      </c>
    </row>
    <row r="39" customFormat="false" ht="15" hidden="false" customHeight="true" outlineLevel="0" collapsed="false">
      <c r="A39" s="243" t="s">
        <v>407</v>
      </c>
      <c r="B39" s="243" t="s">
        <v>283</v>
      </c>
      <c r="C39" s="243" t="s">
        <v>258</v>
      </c>
      <c r="D39" s="243" t="s">
        <v>383</v>
      </c>
      <c r="E39" s="243" t="s">
        <v>384</v>
      </c>
      <c r="F39" s="243" t="s">
        <v>387</v>
      </c>
      <c r="G39" s="244" t="n">
        <v>20.2</v>
      </c>
      <c r="H39" s="244" t="n">
        <v>6.1</v>
      </c>
      <c r="I39" s="245" t="n">
        <v>5221</v>
      </c>
      <c r="J39" s="246" t="n">
        <f aca="false">G39*I39</f>
        <v>105464.2</v>
      </c>
      <c r="K39" s="246" t="n">
        <f aca="false">J39-H39*I39</f>
        <v>73616.1</v>
      </c>
      <c r="L39" s="247" t="n">
        <f aca="false">IF(J39&gt;0,K39/J39,0)</f>
        <v>0.698019801980198</v>
      </c>
    </row>
    <row r="40" customFormat="false" ht="15" hidden="false" customHeight="true" outlineLevel="0" collapsed="false">
      <c r="A40" s="238" t="s">
        <v>407</v>
      </c>
      <c r="B40" s="238" t="s">
        <v>283</v>
      </c>
      <c r="C40" s="238" t="s">
        <v>258</v>
      </c>
      <c r="D40" s="238" t="s">
        <v>383</v>
      </c>
      <c r="E40" s="238" t="s">
        <v>396</v>
      </c>
      <c r="F40" s="238" t="s">
        <v>388</v>
      </c>
      <c r="G40" s="239" t="n">
        <v>29.2</v>
      </c>
      <c r="H40" s="239" t="n">
        <v>8.5</v>
      </c>
      <c r="I40" s="240" t="n">
        <v>5136</v>
      </c>
      <c r="J40" s="241" t="n">
        <f aca="false">G40*I40</f>
        <v>149971.2</v>
      </c>
      <c r="K40" s="241" t="n">
        <f aca="false">J40-H40*I40</f>
        <v>106315.2</v>
      </c>
      <c r="L40" s="242" t="n">
        <f aca="false">IF(J40&gt;0,K40/J40,0)</f>
        <v>0.708904109589041</v>
      </c>
    </row>
    <row r="41" customFormat="false" ht="15" hidden="false" customHeight="true" outlineLevel="0" collapsed="false">
      <c r="A41" s="243" t="s">
        <v>407</v>
      </c>
      <c r="B41" s="243" t="s">
        <v>283</v>
      </c>
      <c r="C41" s="243" t="s">
        <v>258</v>
      </c>
      <c r="D41" s="243" t="s">
        <v>383</v>
      </c>
      <c r="E41" s="243" t="s">
        <v>396</v>
      </c>
      <c r="F41" s="243" t="s">
        <v>389</v>
      </c>
      <c r="G41" s="244" t="n">
        <v>21.3</v>
      </c>
      <c r="H41" s="244" t="n">
        <v>6.5</v>
      </c>
      <c r="I41" s="245" t="n">
        <v>7950</v>
      </c>
      <c r="J41" s="246" t="n">
        <f aca="false">G41*I41</f>
        <v>169335</v>
      </c>
      <c r="K41" s="246" t="n">
        <f aca="false">J41-H41*I41</f>
        <v>117660</v>
      </c>
      <c r="L41" s="247" t="n">
        <f aca="false">IF(J41&gt;0,K41/J41,0)</f>
        <v>0.694835680751174</v>
      </c>
    </row>
    <row r="42" customFormat="false" ht="15" hidden="false" customHeight="true" outlineLevel="0" collapsed="false">
      <c r="A42" s="238" t="s">
        <v>407</v>
      </c>
      <c r="B42" s="238" t="s">
        <v>283</v>
      </c>
      <c r="C42" s="238" t="s">
        <v>258</v>
      </c>
      <c r="D42" s="238" t="s">
        <v>383</v>
      </c>
      <c r="E42" s="238" t="s">
        <v>386</v>
      </c>
      <c r="F42" s="238" t="s">
        <v>390</v>
      </c>
      <c r="G42" s="239" t="n">
        <v>19.5</v>
      </c>
      <c r="H42" s="239" t="n">
        <v>7.9</v>
      </c>
      <c r="I42" s="240" t="n">
        <v>1837</v>
      </c>
      <c r="J42" s="241" t="n">
        <f aca="false">G42*I42</f>
        <v>35821.5</v>
      </c>
      <c r="K42" s="241" t="n">
        <f aca="false">J42-H42*I42</f>
        <v>21309.2</v>
      </c>
      <c r="L42" s="242" t="n">
        <f aca="false">IF(J42&gt;0,K42/J42,0)</f>
        <v>0.594871794871795</v>
      </c>
    </row>
    <row r="43" customFormat="false" ht="15" hidden="false" customHeight="true" outlineLevel="0" collapsed="false">
      <c r="A43" s="243" t="s">
        <v>407</v>
      </c>
      <c r="B43" s="243" t="s">
        <v>283</v>
      </c>
      <c r="C43" s="243" t="s">
        <v>258</v>
      </c>
      <c r="D43" s="243" t="s">
        <v>383</v>
      </c>
      <c r="E43" s="243" t="s">
        <v>384</v>
      </c>
      <c r="F43" s="243" t="s">
        <v>391</v>
      </c>
      <c r="G43" s="244" t="n">
        <v>17.7</v>
      </c>
      <c r="H43" s="244" t="n">
        <v>7.4</v>
      </c>
      <c r="I43" s="245" t="n">
        <v>6767</v>
      </c>
      <c r="J43" s="246" t="n">
        <f aca="false">G43*I43</f>
        <v>119775.9</v>
      </c>
      <c r="K43" s="246" t="n">
        <f aca="false">J43-H43*I43</f>
        <v>69700.1</v>
      </c>
      <c r="L43" s="247" t="n">
        <f aca="false">IF(J43&gt;0,K43/J43,0)</f>
        <v>0.581920903954802</v>
      </c>
    </row>
    <row r="44" customFormat="false" ht="15" hidden="false" customHeight="true" outlineLevel="0" collapsed="false">
      <c r="A44" s="238" t="s">
        <v>407</v>
      </c>
      <c r="B44" s="238" t="s">
        <v>283</v>
      </c>
      <c r="C44" s="238" t="s">
        <v>258</v>
      </c>
      <c r="D44" s="238" t="s">
        <v>383</v>
      </c>
      <c r="E44" s="238" t="s">
        <v>396</v>
      </c>
      <c r="F44" s="238" t="s">
        <v>392</v>
      </c>
      <c r="G44" s="239" t="n">
        <v>18.7</v>
      </c>
      <c r="H44" s="239" t="n">
        <v>8.1</v>
      </c>
      <c r="I44" s="240" t="n">
        <v>7654</v>
      </c>
      <c r="J44" s="241" t="n">
        <f aca="false">G44*I44</f>
        <v>143129.8</v>
      </c>
      <c r="K44" s="241" t="n">
        <f aca="false">J44-H44*I44</f>
        <v>81132.4</v>
      </c>
      <c r="L44" s="242" t="n">
        <f aca="false">IF(J44&gt;0,K44/J44,0)</f>
        <v>0.566844919786096</v>
      </c>
    </row>
    <row r="45" customFormat="false" ht="15" hidden="false" customHeight="true" outlineLevel="0" collapsed="false">
      <c r="A45" s="243" t="s">
        <v>407</v>
      </c>
      <c r="B45" s="243" t="s">
        <v>283</v>
      </c>
      <c r="C45" s="243" t="s">
        <v>258</v>
      </c>
      <c r="D45" s="243" t="s">
        <v>383</v>
      </c>
      <c r="E45" s="243" t="s">
        <v>386</v>
      </c>
      <c r="F45" s="243" t="s">
        <v>393</v>
      </c>
      <c r="G45" s="244" t="n">
        <v>18.6</v>
      </c>
      <c r="H45" s="244" t="n">
        <v>6.6</v>
      </c>
      <c r="I45" s="245" t="n">
        <v>994</v>
      </c>
      <c r="J45" s="246" t="n">
        <f aca="false">G45*I45</f>
        <v>18488.4</v>
      </c>
      <c r="K45" s="246" t="n">
        <f aca="false">J45-H45*I45</f>
        <v>11928</v>
      </c>
      <c r="L45" s="247" t="n">
        <f aca="false">IF(J45&gt;0,K45/J45,0)</f>
        <v>0.645161290322581</v>
      </c>
    </row>
    <row r="46" customFormat="false" ht="15" hidden="false" customHeight="true" outlineLevel="0" collapsed="false">
      <c r="A46" s="238" t="s">
        <v>407</v>
      </c>
      <c r="B46" s="238" t="s">
        <v>283</v>
      </c>
      <c r="C46" s="238" t="s">
        <v>258</v>
      </c>
      <c r="D46" s="238" t="s">
        <v>383</v>
      </c>
      <c r="E46" s="238" t="s">
        <v>396</v>
      </c>
      <c r="F46" s="238" t="s">
        <v>394</v>
      </c>
      <c r="G46" s="239" t="n">
        <v>21.3</v>
      </c>
      <c r="H46" s="239" t="n">
        <v>7.2</v>
      </c>
      <c r="I46" s="240" t="n">
        <v>1455</v>
      </c>
      <c r="J46" s="241" t="n">
        <f aca="false">G46*I46</f>
        <v>30991.5</v>
      </c>
      <c r="K46" s="241" t="n">
        <f aca="false">J46-H46*I46</f>
        <v>20515.5</v>
      </c>
      <c r="L46" s="242" t="n">
        <f aca="false">IF(J46&gt;0,K46/J46,0)</f>
        <v>0.661971830985916</v>
      </c>
    </row>
    <row r="47" customFormat="false" ht="15" hidden="false" customHeight="true" outlineLevel="0" collapsed="false">
      <c r="A47" s="243" t="s">
        <v>407</v>
      </c>
      <c r="B47" s="243" t="s">
        <v>283</v>
      </c>
      <c r="C47" s="243" t="s">
        <v>258</v>
      </c>
      <c r="D47" s="243" t="s">
        <v>383</v>
      </c>
      <c r="E47" s="243" t="s">
        <v>384</v>
      </c>
      <c r="F47" s="243" t="s">
        <v>395</v>
      </c>
      <c r="G47" s="244" t="n">
        <v>27.2</v>
      </c>
      <c r="H47" s="244" t="n">
        <v>8.1</v>
      </c>
      <c r="I47" s="245" t="n">
        <v>3361</v>
      </c>
      <c r="J47" s="246" t="n">
        <f aca="false">G47*I47</f>
        <v>91419.2</v>
      </c>
      <c r="K47" s="246" t="n">
        <f aca="false">J47-H47*I47</f>
        <v>64195.1</v>
      </c>
      <c r="L47" s="247" t="n">
        <f aca="false">IF(J47&gt;0,K47/J47,0)</f>
        <v>0.702205882352941</v>
      </c>
    </row>
    <row r="48" customFormat="false" ht="15" hidden="false" customHeight="true" outlineLevel="0" collapsed="false">
      <c r="A48" s="238" t="s">
        <v>407</v>
      </c>
      <c r="B48" s="238" t="s">
        <v>283</v>
      </c>
      <c r="C48" s="238" t="s">
        <v>258</v>
      </c>
      <c r="D48" s="238" t="s">
        <v>383</v>
      </c>
      <c r="E48" s="238" t="s">
        <v>384</v>
      </c>
      <c r="F48" s="238" t="s">
        <v>397</v>
      </c>
      <c r="G48" s="239" t="n">
        <v>25.7</v>
      </c>
      <c r="H48" s="239" t="n">
        <v>8.1</v>
      </c>
      <c r="I48" s="240" t="n">
        <v>3173</v>
      </c>
      <c r="J48" s="241" t="n">
        <f aca="false">G48*I48</f>
        <v>81546.1</v>
      </c>
      <c r="K48" s="241" t="n">
        <f aca="false">J48-H48*I48</f>
        <v>55844.8</v>
      </c>
      <c r="L48" s="242" t="n">
        <f aca="false">IF(J48&gt;0,K48/J48,0)</f>
        <v>0.684824902723735</v>
      </c>
    </row>
    <row r="49" customFormat="false" ht="15" hidden="false" customHeight="true" outlineLevel="0" collapsed="false">
      <c r="A49" s="243" t="s">
        <v>407</v>
      </c>
      <c r="B49" s="243" t="s">
        <v>283</v>
      </c>
      <c r="C49" s="243" t="s">
        <v>258</v>
      </c>
      <c r="D49" s="243" t="s">
        <v>383</v>
      </c>
      <c r="E49" s="243" t="s">
        <v>384</v>
      </c>
      <c r="F49" s="243" t="s">
        <v>398</v>
      </c>
      <c r="G49" s="244" t="n">
        <v>27.1</v>
      </c>
      <c r="H49" s="244" t="n">
        <v>8.5</v>
      </c>
      <c r="I49" s="245" t="n">
        <v>6259</v>
      </c>
      <c r="J49" s="246" t="n">
        <f aca="false">G49*I49</f>
        <v>169618.9</v>
      </c>
      <c r="K49" s="246" t="n">
        <f aca="false">J49-H49*I49</f>
        <v>116417.4</v>
      </c>
      <c r="L49" s="247" t="n">
        <f aca="false">IF(J49&gt;0,K49/J49,0)</f>
        <v>0.686346863468635</v>
      </c>
    </row>
    <row r="50" customFormat="false" ht="15" hidden="false" customHeight="true" outlineLevel="0" collapsed="false">
      <c r="A50" s="238" t="s">
        <v>407</v>
      </c>
      <c r="B50" s="238" t="s">
        <v>283</v>
      </c>
      <c r="C50" s="238" t="s">
        <v>258</v>
      </c>
      <c r="D50" s="238" t="s">
        <v>399</v>
      </c>
      <c r="E50" s="238" t="s">
        <v>402</v>
      </c>
      <c r="F50" s="238" t="s">
        <v>385</v>
      </c>
      <c r="G50" s="239" t="n">
        <v>29.7</v>
      </c>
      <c r="H50" s="239" t="n">
        <v>9.2</v>
      </c>
      <c r="I50" s="240" t="n">
        <v>3829</v>
      </c>
      <c r="J50" s="241" t="n">
        <f aca="false">G50*I50</f>
        <v>113721.3</v>
      </c>
      <c r="K50" s="241" t="n">
        <f aca="false">J50-H50*I50</f>
        <v>78494.5</v>
      </c>
      <c r="L50" s="242" t="n">
        <f aca="false">IF(J50&gt;0,K50/J50,0)</f>
        <v>0.69023569023569</v>
      </c>
    </row>
    <row r="51" customFormat="false" ht="15" hidden="false" customHeight="true" outlineLevel="0" collapsed="false">
      <c r="A51" s="243" t="s">
        <v>407</v>
      </c>
      <c r="B51" s="243" t="s">
        <v>283</v>
      </c>
      <c r="C51" s="243" t="s">
        <v>258</v>
      </c>
      <c r="D51" s="243" t="s">
        <v>399</v>
      </c>
      <c r="E51" s="243" t="s">
        <v>402</v>
      </c>
      <c r="F51" s="243" t="s">
        <v>387</v>
      </c>
      <c r="G51" s="244" t="n">
        <v>18.6</v>
      </c>
      <c r="H51" s="244" t="n">
        <v>6.8</v>
      </c>
      <c r="I51" s="245" t="n">
        <v>3789</v>
      </c>
      <c r="J51" s="246" t="n">
        <f aca="false">G51*I51</f>
        <v>70475.4</v>
      </c>
      <c r="K51" s="246" t="n">
        <f aca="false">J51-H51*I51</f>
        <v>44710.2</v>
      </c>
      <c r="L51" s="247" t="n">
        <f aca="false">IF(J51&gt;0,K51/J51,0)</f>
        <v>0.634408602150538</v>
      </c>
    </row>
    <row r="52" customFormat="false" ht="15" hidden="false" customHeight="true" outlineLevel="0" collapsed="false">
      <c r="A52" s="238" t="s">
        <v>407</v>
      </c>
      <c r="B52" s="238" t="s">
        <v>283</v>
      </c>
      <c r="C52" s="238" t="s">
        <v>258</v>
      </c>
      <c r="D52" s="238" t="s">
        <v>399</v>
      </c>
      <c r="E52" s="238" t="s">
        <v>400</v>
      </c>
      <c r="F52" s="238" t="s">
        <v>388</v>
      </c>
      <c r="G52" s="239" t="n">
        <v>24.9</v>
      </c>
      <c r="H52" s="239" t="n">
        <v>9.2</v>
      </c>
      <c r="I52" s="240" t="n">
        <v>1371</v>
      </c>
      <c r="J52" s="241" t="n">
        <f aca="false">G52*I52</f>
        <v>34137.9</v>
      </c>
      <c r="K52" s="241" t="n">
        <f aca="false">J52-H52*I52</f>
        <v>21524.7</v>
      </c>
      <c r="L52" s="242" t="n">
        <f aca="false">IF(J52&gt;0,K52/J52,0)</f>
        <v>0.630522088353414</v>
      </c>
    </row>
    <row r="53" customFormat="false" ht="15" hidden="false" customHeight="true" outlineLevel="0" collapsed="false">
      <c r="A53" s="243" t="s">
        <v>407</v>
      </c>
      <c r="B53" s="243" t="s">
        <v>283</v>
      </c>
      <c r="C53" s="243" t="s">
        <v>258</v>
      </c>
      <c r="D53" s="243" t="s">
        <v>399</v>
      </c>
      <c r="E53" s="243" t="s">
        <v>401</v>
      </c>
      <c r="F53" s="243" t="s">
        <v>389</v>
      </c>
      <c r="G53" s="244" t="n">
        <v>26.2</v>
      </c>
      <c r="H53" s="244" t="n">
        <v>9.8</v>
      </c>
      <c r="I53" s="245" t="n">
        <v>4716</v>
      </c>
      <c r="J53" s="246" t="n">
        <f aca="false">G53*I53</f>
        <v>123559.2</v>
      </c>
      <c r="K53" s="246" t="n">
        <f aca="false">J53-H53*I53</f>
        <v>77342.4</v>
      </c>
      <c r="L53" s="247" t="n">
        <f aca="false">IF(J53&gt;0,K53/J53,0)</f>
        <v>0.625954198473282</v>
      </c>
    </row>
    <row r="54" customFormat="false" ht="15" hidden="false" customHeight="true" outlineLevel="0" collapsed="false">
      <c r="A54" s="238" t="s">
        <v>407</v>
      </c>
      <c r="B54" s="238" t="s">
        <v>283</v>
      </c>
      <c r="C54" s="238" t="s">
        <v>258</v>
      </c>
      <c r="D54" s="238" t="s">
        <v>399</v>
      </c>
      <c r="E54" s="238" t="s">
        <v>402</v>
      </c>
      <c r="F54" s="238" t="s">
        <v>390</v>
      </c>
      <c r="G54" s="239" t="n">
        <v>25</v>
      </c>
      <c r="H54" s="239" t="n">
        <v>9.8</v>
      </c>
      <c r="I54" s="240" t="n">
        <v>1492</v>
      </c>
      <c r="J54" s="241" t="n">
        <f aca="false">G54*I54</f>
        <v>37300</v>
      </c>
      <c r="K54" s="241" t="n">
        <f aca="false">J54-H54*I54</f>
        <v>22678.4</v>
      </c>
      <c r="L54" s="242" t="n">
        <f aca="false">IF(J54&gt;0,K54/J54,0)</f>
        <v>0.608</v>
      </c>
    </row>
    <row r="55" customFormat="false" ht="15" hidden="false" customHeight="true" outlineLevel="0" collapsed="false">
      <c r="A55" s="243" t="s">
        <v>407</v>
      </c>
      <c r="B55" s="243" t="s">
        <v>283</v>
      </c>
      <c r="C55" s="243" t="s">
        <v>258</v>
      </c>
      <c r="D55" s="243" t="s">
        <v>399</v>
      </c>
      <c r="E55" s="243" t="s">
        <v>400</v>
      </c>
      <c r="F55" s="243" t="s">
        <v>391</v>
      </c>
      <c r="G55" s="244" t="n">
        <v>19.8</v>
      </c>
      <c r="H55" s="244" t="n">
        <v>7.9</v>
      </c>
      <c r="I55" s="245" t="n">
        <v>2671</v>
      </c>
      <c r="J55" s="246" t="n">
        <f aca="false">G55*I55</f>
        <v>52885.8</v>
      </c>
      <c r="K55" s="246" t="n">
        <f aca="false">J55-H55*I55</f>
        <v>31784.9</v>
      </c>
      <c r="L55" s="247" t="n">
        <f aca="false">IF(J55&gt;0,K55/J55,0)</f>
        <v>0.601010101010101</v>
      </c>
    </row>
    <row r="56" customFormat="false" ht="15" hidden="false" customHeight="true" outlineLevel="0" collapsed="false">
      <c r="A56" s="238" t="s">
        <v>407</v>
      </c>
      <c r="B56" s="238" t="s">
        <v>283</v>
      </c>
      <c r="C56" s="238" t="s">
        <v>258</v>
      </c>
      <c r="D56" s="238" t="s">
        <v>399</v>
      </c>
      <c r="E56" s="238" t="s">
        <v>400</v>
      </c>
      <c r="F56" s="238" t="s">
        <v>392</v>
      </c>
      <c r="G56" s="239" t="n">
        <v>25.6</v>
      </c>
      <c r="H56" s="239" t="n">
        <v>9.4</v>
      </c>
      <c r="I56" s="240" t="n">
        <v>3438</v>
      </c>
      <c r="J56" s="241" t="n">
        <f aca="false">G56*I56</f>
        <v>88012.8</v>
      </c>
      <c r="K56" s="241" t="n">
        <f aca="false">J56-H56*I56</f>
        <v>55695.6</v>
      </c>
      <c r="L56" s="242" t="n">
        <f aca="false">IF(J56&gt;0,K56/J56,0)</f>
        <v>0.6328125</v>
      </c>
    </row>
    <row r="57" customFormat="false" ht="15" hidden="false" customHeight="true" outlineLevel="0" collapsed="false">
      <c r="A57" s="243" t="s">
        <v>407</v>
      </c>
      <c r="B57" s="243" t="s">
        <v>283</v>
      </c>
      <c r="C57" s="243" t="s">
        <v>258</v>
      </c>
      <c r="D57" s="243" t="s">
        <v>399</v>
      </c>
      <c r="E57" s="243" t="s">
        <v>400</v>
      </c>
      <c r="F57" s="243" t="s">
        <v>393</v>
      </c>
      <c r="G57" s="244" t="n">
        <v>18.8</v>
      </c>
      <c r="H57" s="244" t="n">
        <v>6.3</v>
      </c>
      <c r="I57" s="245" t="n">
        <v>4593</v>
      </c>
      <c r="J57" s="246" t="n">
        <f aca="false">G57*I57</f>
        <v>86348.4</v>
      </c>
      <c r="K57" s="246" t="n">
        <f aca="false">J57-H57*I57</f>
        <v>57412.5</v>
      </c>
      <c r="L57" s="247" t="n">
        <f aca="false">IF(J57&gt;0,K57/J57,0)</f>
        <v>0.664893617021277</v>
      </c>
    </row>
    <row r="58" customFormat="false" ht="15" hidden="false" customHeight="true" outlineLevel="0" collapsed="false">
      <c r="A58" s="238" t="s">
        <v>407</v>
      </c>
      <c r="B58" s="238" t="s">
        <v>283</v>
      </c>
      <c r="C58" s="238" t="s">
        <v>258</v>
      </c>
      <c r="D58" s="238" t="s">
        <v>399</v>
      </c>
      <c r="E58" s="238" t="s">
        <v>400</v>
      </c>
      <c r="F58" s="238" t="s">
        <v>394</v>
      </c>
      <c r="G58" s="239" t="n">
        <v>24.5</v>
      </c>
      <c r="H58" s="239" t="n">
        <v>9</v>
      </c>
      <c r="I58" s="240" t="n">
        <v>1303</v>
      </c>
      <c r="J58" s="241" t="n">
        <f aca="false">G58*I58</f>
        <v>31923.5</v>
      </c>
      <c r="K58" s="241" t="n">
        <f aca="false">J58-H58*I58</f>
        <v>20196.5</v>
      </c>
      <c r="L58" s="242" t="n">
        <f aca="false">IF(J58&gt;0,K58/J58,0)</f>
        <v>0.63265306122449</v>
      </c>
    </row>
    <row r="59" customFormat="false" ht="15" hidden="false" customHeight="true" outlineLevel="0" collapsed="false">
      <c r="A59" s="243" t="s">
        <v>407</v>
      </c>
      <c r="B59" s="243" t="s">
        <v>283</v>
      </c>
      <c r="C59" s="243" t="s">
        <v>258</v>
      </c>
      <c r="D59" s="243" t="s">
        <v>399</v>
      </c>
      <c r="E59" s="243" t="s">
        <v>401</v>
      </c>
      <c r="F59" s="243" t="s">
        <v>395</v>
      </c>
      <c r="G59" s="244" t="n">
        <v>23.4</v>
      </c>
      <c r="H59" s="244" t="n">
        <v>7.3</v>
      </c>
      <c r="I59" s="245" t="n">
        <v>4872</v>
      </c>
      <c r="J59" s="246" t="n">
        <f aca="false">G59*I59</f>
        <v>114004.8</v>
      </c>
      <c r="K59" s="246" t="n">
        <f aca="false">J59-H59*I59</f>
        <v>78439.2</v>
      </c>
      <c r="L59" s="247" t="n">
        <f aca="false">IF(J59&gt;0,K59/J59,0)</f>
        <v>0.688034188034188</v>
      </c>
    </row>
    <row r="60" customFormat="false" ht="15" hidden="false" customHeight="true" outlineLevel="0" collapsed="false">
      <c r="A60" s="238" t="s">
        <v>407</v>
      </c>
      <c r="B60" s="238" t="s">
        <v>283</v>
      </c>
      <c r="C60" s="238" t="s">
        <v>258</v>
      </c>
      <c r="D60" s="238" t="s">
        <v>399</v>
      </c>
      <c r="E60" s="238" t="s">
        <v>402</v>
      </c>
      <c r="F60" s="238" t="s">
        <v>397</v>
      </c>
      <c r="G60" s="239" t="n">
        <v>24.6</v>
      </c>
      <c r="H60" s="239" t="n">
        <v>7.9</v>
      </c>
      <c r="I60" s="240" t="n">
        <v>882</v>
      </c>
      <c r="J60" s="241" t="n">
        <f aca="false">G60*I60</f>
        <v>21697.2</v>
      </c>
      <c r="K60" s="241" t="n">
        <f aca="false">J60-H60*I60</f>
        <v>14729.4</v>
      </c>
      <c r="L60" s="242" t="n">
        <f aca="false">IF(J60&gt;0,K60/J60,0)</f>
        <v>0.678861788617886</v>
      </c>
    </row>
    <row r="61" customFormat="false" ht="15" hidden="false" customHeight="true" outlineLevel="0" collapsed="false">
      <c r="A61" s="243" t="s">
        <v>407</v>
      </c>
      <c r="B61" s="243" t="s">
        <v>283</v>
      </c>
      <c r="C61" s="243" t="s">
        <v>258</v>
      </c>
      <c r="D61" s="243" t="s">
        <v>399</v>
      </c>
      <c r="E61" s="243" t="s">
        <v>401</v>
      </c>
      <c r="F61" s="243" t="s">
        <v>398</v>
      </c>
      <c r="G61" s="244" t="n">
        <v>14.7</v>
      </c>
      <c r="H61" s="244" t="n">
        <v>6.7</v>
      </c>
      <c r="I61" s="245" t="n">
        <v>1180</v>
      </c>
      <c r="J61" s="246" t="n">
        <f aca="false">G61*I61</f>
        <v>17346</v>
      </c>
      <c r="K61" s="246" t="n">
        <f aca="false">J61-H61*I61</f>
        <v>9440</v>
      </c>
      <c r="L61" s="247" t="n">
        <f aca="false">IF(J61&gt;0,K61/J61,0)</f>
        <v>0.54421768707483</v>
      </c>
    </row>
    <row r="62" customFormat="false" ht="15" hidden="false" customHeight="true" outlineLevel="0" collapsed="false">
      <c r="A62" s="238" t="s">
        <v>407</v>
      </c>
      <c r="B62" s="238" t="s">
        <v>283</v>
      </c>
      <c r="C62" s="238" t="s">
        <v>258</v>
      </c>
      <c r="D62" s="238" t="s">
        <v>403</v>
      </c>
      <c r="E62" s="238" t="s">
        <v>404</v>
      </c>
      <c r="F62" s="238" t="s">
        <v>385</v>
      </c>
      <c r="G62" s="239" t="n">
        <v>20.4</v>
      </c>
      <c r="H62" s="239" t="n">
        <v>9.2</v>
      </c>
      <c r="I62" s="240" t="n">
        <v>2742</v>
      </c>
      <c r="J62" s="241" t="n">
        <f aca="false">G62*I62</f>
        <v>55936.8</v>
      </c>
      <c r="K62" s="241" t="n">
        <f aca="false">J62-H62*I62</f>
        <v>30710.4</v>
      </c>
      <c r="L62" s="242" t="n">
        <f aca="false">IF(J62&gt;0,K62/J62,0)</f>
        <v>0.549019607843137</v>
      </c>
    </row>
    <row r="63" customFormat="false" ht="15" hidden="false" customHeight="true" outlineLevel="0" collapsed="false">
      <c r="A63" s="243" t="s">
        <v>407</v>
      </c>
      <c r="B63" s="243" t="s">
        <v>283</v>
      </c>
      <c r="C63" s="243" t="s">
        <v>258</v>
      </c>
      <c r="D63" s="243" t="s">
        <v>403</v>
      </c>
      <c r="E63" s="243" t="s">
        <v>406</v>
      </c>
      <c r="F63" s="243" t="s">
        <v>387</v>
      </c>
      <c r="G63" s="244" t="n">
        <v>21.7</v>
      </c>
      <c r="H63" s="244" t="n">
        <v>8.6</v>
      </c>
      <c r="I63" s="245" t="n">
        <v>1929</v>
      </c>
      <c r="J63" s="246" t="n">
        <f aca="false">G63*I63</f>
        <v>41859.3</v>
      </c>
      <c r="K63" s="246" t="n">
        <f aca="false">J63-H63*I63</f>
        <v>25269.9</v>
      </c>
      <c r="L63" s="247" t="n">
        <f aca="false">IF(J63&gt;0,K63/J63,0)</f>
        <v>0.603686635944701</v>
      </c>
    </row>
    <row r="64" customFormat="false" ht="15" hidden="false" customHeight="true" outlineLevel="0" collapsed="false">
      <c r="A64" s="238" t="s">
        <v>407</v>
      </c>
      <c r="B64" s="238" t="s">
        <v>283</v>
      </c>
      <c r="C64" s="238" t="s">
        <v>258</v>
      </c>
      <c r="D64" s="238" t="s">
        <v>403</v>
      </c>
      <c r="E64" s="238" t="s">
        <v>406</v>
      </c>
      <c r="F64" s="238" t="s">
        <v>388</v>
      </c>
      <c r="G64" s="239" t="n">
        <v>19.5</v>
      </c>
      <c r="H64" s="239" t="n">
        <v>6.1</v>
      </c>
      <c r="I64" s="240" t="n">
        <v>2449</v>
      </c>
      <c r="J64" s="241" t="n">
        <f aca="false">G64*I64</f>
        <v>47755.5</v>
      </c>
      <c r="K64" s="241" t="n">
        <f aca="false">J64-H64*I64</f>
        <v>32816.6</v>
      </c>
      <c r="L64" s="242" t="n">
        <f aca="false">IF(J64&gt;0,K64/J64,0)</f>
        <v>0.687179487179487</v>
      </c>
    </row>
    <row r="65" customFormat="false" ht="15" hidden="false" customHeight="true" outlineLevel="0" collapsed="false">
      <c r="A65" s="243" t="s">
        <v>407</v>
      </c>
      <c r="B65" s="243" t="s">
        <v>283</v>
      </c>
      <c r="C65" s="243" t="s">
        <v>258</v>
      </c>
      <c r="D65" s="243" t="s">
        <v>403</v>
      </c>
      <c r="E65" s="243" t="s">
        <v>406</v>
      </c>
      <c r="F65" s="243" t="s">
        <v>389</v>
      </c>
      <c r="G65" s="244" t="n">
        <v>27.5</v>
      </c>
      <c r="H65" s="244" t="n">
        <v>8.1</v>
      </c>
      <c r="I65" s="245" t="n">
        <v>1593</v>
      </c>
      <c r="J65" s="246" t="n">
        <f aca="false">G65*I65</f>
        <v>43807.5</v>
      </c>
      <c r="K65" s="246" t="n">
        <f aca="false">J65-H65*I65</f>
        <v>30904.2</v>
      </c>
      <c r="L65" s="247" t="n">
        <f aca="false">IF(J65&gt;0,K65/J65,0)</f>
        <v>0.705454545454545</v>
      </c>
    </row>
    <row r="66" customFormat="false" ht="15" hidden="false" customHeight="true" outlineLevel="0" collapsed="false">
      <c r="A66" s="238" t="s">
        <v>407</v>
      </c>
      <c r="B66" s="238" t="s">
        <v>283</v>
      </c>
      <c r="C66" s="238" t="s">
        <v>258</v>
      </c>
      <c r="D66" s="238" t="s">
        <v>403</v>
      </c>
      <c r="E66" s="238" t="s">
        <v>404</v>
      </c>
      <c r="F66" s="238" t="s">
        <v>390</v>
      </c>
      <c r="G66" s="239" t="n">
        <v>21.5</v>
      </c>
      <c r="H66" s="239" t="n">
        <v>9.3</v>
      </c>
      <c r="I66" s="240" t="n">
        <v>1061</v>
      </c>
      <c r="J66" s="241" t="n">
        <f aca="false">G66*I66</f>
        <v>22811.5</v>
      </c>
      <c r="K66" s="241" t="n">
        <f aca="false">J66-H66*I66</f>
        <v>12944.2</v>
      </c>
      <c r="L66" s="242" t="n">
        <f aca="false">IF(J66&gt;0,K66/J66,0)</f>
        <v>0.567441860465116</v>
      </c>
    </row>
    <row r="67" customFormat="false" ht="15" hidden="false" customHeight="true" outlineLevel="0" collapsed="false">
      <c r="A67" s="243" t="s">
        <v>407</v>
      </c>
      <c r="B67" s="243" t="s">
        <v>283</v>
      </c>
      <c r="C67" s="243" t="s">
        <v>258</v>
      </c>
      <c r="D67" s="243" t="s">
        <v>403</v>
      </c>
      <c r="E67" s="243" t="s">
        <v>405</v>
      </c>
      <c r="F67" s="243" t="s">
        <v>391</v>
      </c>
      <c r="G67" s="244" t="n">
        <v>25.2</v>
      </c>
      <c r="H67" s="244" t="n">
        <v>8</v>
      </c>
      <c r="I67" s="245" t="n">
        <v>1278</v>
      </c>
      <c r="J67" s="246" t="n">
        <f aca="false">G67*I67</f>
        <v>32205.6</v>
      </c>
      <c r="K67" s="246" t="n">
        <f aca="false">J67-H67*I67</f>
        <v>21981.6</v>
      </c>
      <c r="L67" s="247" t="n">
        <f aca="false">IF(J67&gt;0,K67/J67,0)</f>
        <v>0.682539682539683</v>
      </c>
    </row>
    <row r="68" customFormat="false" ht="15" hidden="false" customHeight="true" outlineLevel="0" collapsed="false">
      <c r="A68" s="238" t="s">
        <v>407</v>
      </c>
      <c r="B68" s="238" t="s">
        <v>283</v>
      </c>
      <c r="C68" s="238" t="s">
        <v>258</v>
      </c>
      <c r="D68" s="238" t="s">
        <v>403</v>
      </c>
      <c r="E68" s="238" t="s">
        <v>404</v>
      </c>
      <c r="F68" s="238" t="s">
        <v>392</v>
      </c>
      <c r="G68" s="239" t="n">
        <v>16.9</v>
      </c>
      <c r="H68" s="239" t="n">
        <v>7.7</v>
      </c>
      <c r="I68" s="240" t="n">
        <v>2986</v>
      </c>
      <c r="J68" s="241" t="n">
        <f aca="false">G68*I68</f>
        <v>50463.4</v>
      </c>
      <c r="K68" s="241" t="n">
        <f aca="false">J68-H68*I68</f>
        <v>27471.2</v>
      </c>
      <c r="L68" s="242" t="n">
        <f aca="false">IF(J68&gt;0,K68/J68,0)</f>
        <v>0.544378698224852</v>
      </c>
    </row>
    <row r="69" customFormat="false" ht="15" hidden="false" customHeight="true" outlineLevel="0" collapsed="false">
      <c r="A69" s="243" t="s">
        <v>407</v>
      </c>
      <c r="B69" s="243" t="s">
        <v>283</v>
      </c>
      <c r="C69" s="243" t="s">
        <v>258</v>
      </c>
      <c r="D69" s="243" t="s">
        <v>403</v>
      </c>
      <c r="E69" s="243" t="s">
        <v>405</v>
      </c>
      <c r="F69" s="243" t="s">
        <v>393</v>
      </c>
      <c r="G69" s="244" t="n">
        <v>28.7</v>
      </c>
      <c r="H69" s="244" t="n">
        <v>9.6</v>
      </c>
      <c r="I69" s="245" t="n">
        <v>2709</v>
      </c>
      <c r="J69" s="246" t="n">
        <f aca="false">G69*I69</f>
        <v>77748.3</v>
      </c>
      <c r="K69" s="246" t="n">
        <f aca="false">J69-H69*I69</f>
        <v>51741.9</v>
      </c>
      <c r="L69" s="247" t="n">
        <f aca="false">IF(J69&gt;0,K69/J69,0)</f>
        <v>0.665505226480836</v>
      </c>
    </row>
    <row r="70" customFormat="false" ht="15" hidden="false" customHeight="true" outlineLevel="0" collapsed="false">
      <c r="A70" s="238" t="s">
        <v>407</v>
      </c>
      <c r="B70" s="238" t="s">
        <v>283</v>
      </c>
      <c r="C70" s="238" t="s">
        <v>258</v>
      </c>
      <c r="D70" s="238" t="s">
        <v>403</v>
      </c>
      <c r="E70" s="238" t="s">
        <v>405</v>
      </c>
      <c r="F70" s="238" t="s">
        <v>394</v>
      </c>
      <c r="G70" s="239" t="n">
        <v>26</v>
      </c>
      <c r="H70" s="239" t="n">
        <v>7.7</v>
      </c>
      <c r="I70" s="240" t="n">
        <v>1792</v>
      </c>
      <c r="J70" s="241" t="n">
        <f aca="false">G70*I70</f>
        <v>46592</v>
      </c>
      <c r="K70" s="241" t="n">
        <f aca="false">J70-H70*I70</f>
        <v>32793.6</v>
      </c>
      <c r="L70" s="242" t="n">
        <f aca="false">IF(J70&gt;0,K70/J70,0)</f>
        <v>0.703846153846154</v>
      </c>
    </row>
    <row r="71" customFormat="false" ht="15" hidden="false" customHeight="true" outlineLevel="0" collapsed="false">
      <c r="A71" s="243" t="s">
        <v>407</v>
      </c>
      <c r="B71" s="243" t="s">
        <v>283</v>
      </c>
      <c r="C71" s="243" t="s">
        <v>258</v>
      </c>
      <c r="D71" s="243" t="s">
        <v>403</v>
      </c>
      <c r="E71" s="243" t="s">
        <v>406</v>
      </c>
      <c r="F71" s="243" t="s">
        <v>395</v>
      </c>
      <c r="G71" s="244" t="n">
        <v>18.3</v>
      </c>
      <c r="H71" s="244" t="n">
        <v>6.6</v>
      </c>
      <c r="I71" s="245" t="n">
        <v>2877</v>
      </c>
      <c r="J71" s="246" t="n">
        <f aca="false">G71*I71</f>
        <v>52649.1</v>
      </c>
      <c r="K71" s="246" t="n">
        <f aca="false">J71-H71*I71</f>
        <v>33660.9</v>
      </c>
      <c r="L71" s="247" t="n">
        <f aca="false">IF(J71&gt;0,K71/J71,0)</f>
        <v>0.639344262295082</v>
      </c>
    </row>
    <row r="72" customFormat="false" ht="15" hidden="false" customHeight="true" outlineLevel="0" collapsed="false">
      <c r="A72" s="238" t="s">
        <v>407</v>
      </c>
      <c r="B72" s="238" t="s">
        <v>283</v>
      </c>
      <c r="C72" s="238" t="s">
        <v>258</v>
      </c>
      <c r="D72" s="238" t="s">
        <v>403</v>
      </c>
      <c r="E72" s="238" t="s">
        <v>406</v>
      </c>
      <c r="F72" s="238" t="s">
        <v>397</v>
      </c>
      <c r="G72" s="239" t="n">
        <v>26.6</v>
      </c>
      <c r="H72" s="239" t="n">
        <v>8.4</v>
      </c>
      <c r="I72" s="240" t="n">
        <v>763</v>
      </c>
      <c r="J72" s="241" t="n">
        <f aca="false">G72*I72</f>
        <v>20295.8</v>
      </c>
      <c r="K72" s="241" t="n">
        <f aca="false">J72-H72*I72</f>
        <v>13886.6</v>
      </c>
      <c r="L72" s="242" t="n">
        <f aca="false">IF(J72&gt;0,K72/J72,0)</f>
        <v>0.684210526315789</v>
      </c>
    </row>
    <row r="73" customFormat="false" ht="15" hidden="false" customHeight="true" outlineLevel="0" collapsed="false">
      <c r="A73" s="243" t="s">
        <v>407</v>
      </c>
      <c r="B73" s="243" t="s">
        <v>283</v>
      </c>
      <c r="C73" s="243" t="s">
        <v>258</v>
      </c>
      <c r="D73" s="243" t="s">
        <v>403</v>
      </c>
      <c r="E73" s="243" t="s">
        <v>404</v>
      </c>
      <c r="F73" s="243" t="s">
        <v>398</v>
      </c>
      <c r="G73" s="244" t="n">
        <v>24.4</v>
      </c>
      <c r="H73" s="244" t="n">
        <v>7.9</v>
      </c>
      <c r="I73" s="245" t="n">
        <v>1952</v>
      </c>
      <c r="J73" s="246" t="n">
        <f aca="false">G73*I73</f>
        <v>47628.8</v>
      </c>
      <c r="K73" s="246" t="n">
        <f aca="false">J73-H73*I73</f>
        <v>32208</v>
      </c>
      <c r="L73" s="247" t="n">
        <f aca="false">IF(J73&gt;0,K73/J73,0)</f>
        <v>0.676229508196721</v>
      </c>
    </row>
    <row r="74" customFormat="false" ht="15" hidden="false" customHeight="true" outlineLevel="0" collapsed="false">
      <c r="A74" s="238" t="s">
        <v>311</v>
      </c>
      <c r="B74" s="238" t="s">
        <v>287</v>
      </c>
      <c r="C74" s="238" t="s">
        <v>258</v>
      </c>
      <c r="D74" s="238" t="s">
        <v>383</v>
      </c>
      <c r="E74" s="238" t="s">
        <v>384</v>
      </c>
      <c r="F74" s="238" t="s">
        <v>385</v>
      </c>
      <c r="G74" s="239" t="n">
        <v>219.8</v>
      </c>
      <c r="H74" s="239" t="n">
        <v>78.6</v>
      </c>
      <c r="I74" s="240" t="n">
        <v>4273</v>
      </c>
      <c r="J74" s="241" t="n">
        <f aca="false">G74*I74</f>
        <v>939205.4</v>
      </c>
      <c r="K74" s="241" t="n">
        <f aca="false">J74-H74*I74</f>
        <v>603347.6</v>
      </c>
      <c r="L74" s="242" t="n">
        <f aca="false">IF(J74&gt;0,K74/J74,0)</f>
        <v>0.642402183803458</v>
      </c>
    </row>
    <row r="75" customFormat="false" ht="15" hidden="false" customHeight="true" outlineLevel="0" collapsed="false">
      <c r="A75" s="243" t="s">
        <v>311</v>
      </c>
      <c r="B75" s="243" t="s">
        <v>287</v>
      </c>
      <c r="C75" s="243" t="s">
        <v>258</v>
      </c>
      <c r="D75" s="243" t="s">
        <v>383</v>
      </c>
      <c r="E75" s="243" t="s">
        <v>384</v>
      </c>
      <c r="F75" s="243" t="s">
        <v>387</v>
      </c>
      <c r="G75" s="244" t="n">
        <v>172.4</v>
      </c>
      <c r="H75" s="244" t="n">
        <v>82.7</v>
      </c>
      <c r="I75" s="245" t="n">
        <v>2177</v>
      </c>
      <c r="J75" s="246" t="n">
        <f aca="false">G75*I75</f>
        <v>375314.8</v>
      </c>
      <c r="K75" s="246" t="n">
        <f aca="false">J75-H75*I75</f>
        <v>195276.9</v>
      </c>
      <c r="L75" s="247" t="n">
        <f aca="false">IF(J75&gt;0,K75/J75,0)</f>
        <v>0.52030162412993</v>
      </c>
    </row>
    <row r="76" customFormat="false" ht="15" hidden="false" customHeight="true" outlineLevel="0" collapsed="false">
      <c r="A76" s="238" t="s">
        <v>311</v>
      </c>
      <c r="B76" s="238" t="s">
        <v>287</v>
      </c>
      <c r="C76" s="238" t="s">
        <v>258</v>
      </c>
      <c r="D76" s="238" t="s">
        <v>383</v>
      </c>
      <c r="E76" s="238" t="s">
        <v>384</v>
      </c>
      <c r="F76" s="238" t="s">
        <v>388</v>
      </c>
      <c r="G76" s="239" t="n">
        <v>222</v>
      </c>
      <c r="H76" s="239" t="n">
        <v>80.4</v>
      </c>
      <c r="I76" s="240" t="n">
        <v>4844</v>
      </c>
      <c r="J76" s="241" t="n">
        <f aca="false">G76*I76</f>
        <v>1075368</v>
      </c>
      <c r="K76" s="241" t="n">
        <f aca="false">J76-H76*I76</f>
        <v>685910.4</v>
      </c>
      <c r="L76" s="242" t="n">
        <f aca="false">IF(J76&gt;0,K76/J76,0)</f>
        <v>0.637837837837838</v>
      </c>
    </row>
    <row r="77" customFormat="false" ht="15" hidden="false" customHeight="true" outlineLevel="0" collapsed="false">
      <c r="A77" s="243" t="s">
        <v>311</v>
      </c>
      <c r="B77" s="243" t="s">
        <v>287</v>
      </c>
      <c r="C77" s="243" t="s">
        <v>258</v>
      </c>
      <c r="D77" s="243" t="s">
        <v>383</v>
      </c>
      <c r="E77" s="243" t="s">
        <v>386</v>
      </c>
      <c r="F77" s="243" t="s">
        <v>389</v>
      </c>
      <c r="G77" s="244" t="n">
        <v>215.7</v>
      </c>
      <c r="H77" s="244" t="n">
        <v>73.9</v>
      </c>
      <c r="I77" s="245" t="n">
        <v>4439</v>
      </c>
      <c r="J77" s="246" t="n">
        <f aca="false">G77*I77</f>
        <v>957492.3</v>
      </c>
      <c r="K77" s="246" t="n">
        <f aca="false">J77-H77*I77</f>
        <v>629450.2</v>
      </c>
      <c r="L77" s="247" t="n">
        <f aca="false">IF(J77&gt;0,K77/J77,0)</f>
        <v>0.657394529439036</v>
      </c>
    </row>
    <row r="78" customFormat="false" ht="15" hidden="false" customHeight="true" outlineLevel="0" collapsed="false">
      <c r="A78" s="238" t="s">
        <v>311</v>
      </c>
      <c r="B78" s="238" t="s">
        <v>287</v>
      </c>
      <c r="C78" s="238" t="s">
        <v>258</v>
      </c>
      <c r="D78" s="238" t="s">
        <v>383</v>
      </c>
      <c r="E78" s="238" t="s">
        <v>396</v>
      </c>
      <c r="F78" s="238" t="s">
        <v>390</v>
      </c>
      <c r="G78" s="239" t="n">
        <v>166.7</v>
      </c>
      <c r="H78" s="239" t="n">
        <v>69</v>
      </c>
      <c r="I78" s="240" t="n">
        <v>4458</v>
      </c>
      <c r="J78" s="241" t="n">
        <f aca="false">G78*I78</f>
        <v>743148.6</v>
      </c>
      <c r="K78" s="241" t="n">
        <f aca="false">J78-H78*I78</f>
        <v>435546.6</v>
      </c>
      <c r="L78" s="242" t="n">
        <f aca="false">IF(J78&gt;0,K78/J78,0)</f>
        <v>0.586082783443311</v>
      </c>
    </row>
    <row r="79" customFormat="false" ht="15" hidden="false" customHeight="true" outlineLevel="0" collapsed="false">
      <c r="A79" s="243" t="s">
        <v>311</v>
      </c>
      <c r="B79" s="243" t="s">
        <v>287</v>
      </c>
      <c r="C79" s="243" t="s">
        <v>258</v>
      </c>
      <c r="D79" s="243" t="s">
        <v>383</v>
      </c>
      <c r="E79" s="243" t="s">
        <v>396</v>
      </c>
      <c r="F79" s="243" t="s">
        <v>391</v>
      </c>
      <c r="G79" s="244" t="n">
        <v>178.3</v>
      </c>
      <c r="H79" s="244" t="n">
        <v>75.2</v>
      </c>
      <c r="I79" s="245" t="n">
        <v>4567</v>
      </c>
      <c r="J79" s="246" t="n">
        <f aca="false">G79*I79</f>
        <v>814296.1</v>
      </c>
      <c r="K79" s="246" t="n">
        <f aca="false">J79-H79*I79</f>
        <v>470857.7</v>
      </c>
      <c r="L79" s="247" t="n">
        <f aca="false">IF(J79&gt;0,K79/J79,0)</f>
        <v>0.578238923163208</v>
      </c>
    </row>
    <row r="80" customFormat="false" ht="15" hidden="false" customHeight="true" outlineLevel="0" collapsed="false">
      <c r="A80" s="238" t="s">
        <v>311</v>
      </c>
      <c r="B80" s="238" t="s">
        <v>287</v>
      </c>
      <c r="C80" s="238" t="s">
        <v>258</v>
      </c>
      <c r="D80" s="238" t="s">
        <v>383</v>
      </c>
      <c r="E80" s="238" t="s">
        <v>396</v>
      </c>
      <c r="F80" s="238" t="s">
        <v>392</v>
      </c>
      <c r="G80" s="239" t="n">
        <v>278.8</v>
      </c>
      <c r="H80" s="239" t="n">
        <v>83.5</v>
      </c>
      <c r="I80" s="240" t="n">
        <v>2258</v>
      </c>
      <c r="J80" s="241" t="n">
        <f aca="false">G80*I80</f>
        <v>629530.4</v>
      </c>
      <c r="K80" s="241" t="n">
        <f aca="false">J80-H80*I80</f>
        <v>440987.4</v>
      </c>
      <c r="L80" s="242" t="n">
        <f aca="false">IF(J80&gt;0,K80/J80,0)</f>
        <v>0.700502152080344</v>
      </c>
    </row>
    <row r="81" customFormat="false" ht="15" hidden="false" customHeight="true" outlineLevel="0" collapsed="false">
      <c r="A81" s="243" t="s">
        <v>311</v>
      </c>
      <c r="B81" s="243" t="s">
        <v>287</v>
      </c>
      <c r="C81" s="243" t="s">
        <v>258</v>
      </c>
      <c r="D81" s="243" t="s">
        <v>383</v>
      </c>
      <c r="E81" s="243" t="s">
        <v>384</v>
      </c>
      <c r="F81" s="243" t="s">
        <v>393</v>
      </c>
      <c r="G81" s="244" t="n">
        <v>147.8</v>
      </c>
      <c r="H81" s="244" t="n">
        <v>67.7</v>
      </c>
      <c r="I81" s="245" t="n">
        <v>3983</v>
      </c>
      <c r="J81" s="246" t="n">
        <f aca="false">G81*I81</f>
        <v>588687.4</v>
      </c>
      <c r="K81" s="246" t="n">
        <f aca="false">J81-H81*I81</f>
        <v>319038.3</v>
      </c>
      <c r="L81" s="247" t="n">
        <f aca="false">IF(J81&gt;0,K81/J81,0)</f>
        <v>0.541948579161028</v>
      </c>
    </row>
    <row r="82" customFormat="false" ht="15" hidden="false" customHeight="true" outlineLevel="0" collapsed="false">
      <c r="A82" s="238" t="s">
        <v>311</v>
      </c>
      <c r="B82" s="238" t="s">
        <v>287</v>
      </c>
      <c r="C82" s="238" t="s">
        <v>258</v>
      </c>
      <c r="D82" s="238" t="s">
        <v>383</v>
      </c>
      <c r="E82" s="238" t="s">
        <v>396</v>
      </c>
      <c r="F82" s="238" t="s">
        <v>394</v>
      </c>
      <c r="G82" s="239" t="n">
        <v>207.2</v>
      </c>
      <c r="H82" s="239" t="n">
        <v>78.4</v>
      </c>
      <c r="I82" s="240" t="n">
        <v>2331</v>
      </c>
      <c r="J82" s="241" t="n">
        <f aca="false">G82*I82</f>
        <v>482983.2</v>
      </c>
      <c r="K82" s="241" t="n">
        <f aca="false">J82-H82*I82</f>
        <v>300232.8</v>
      </c>
      <c r="L82" s="242" t="n">
        <f aca="false">IF(J82&gt;0,K82/J82,0)</f>
        <v>0.621621621621622</v>
      </c>
    </row>
    <row r="83" customFormat="false" ht="15" hidden="false" customHeight="true" outlineLevel="0" collapsed="false">
      <c r="A83" s="243" t="s">
        <v>311</v>
      </c>
      <c r="B83" s="243" t="s">
        <v>287</v>
      </c>
      <c r="C83" s="243" t="s">
        <v>258</v>
      </c>
      <c r="D83" s="243" t="s">
        <v>383</v>
      </c>
      <c r="E83" s="243" t="s">
        <v>386</v>
      </c>
      <c r="F83" s="243" t="s">
        <v>395</v>
      </c>
      <c r="G83" s="244" t="n">
        <v>270</v>
      </c>
      <c r="H83" s="244" t="n">
        <v>80.7</v>
      </c>
      <c r="I83" s="245" t="n">
        <v>1912</v>
      </c>
      <c r="J83" s="246" t="n">
        <f aca="false">G83*I83</f>
        <v>516240</v>
      </c>
      <c r="K83" s="246" t="n">
        <f aca="false">J83-H83*I83</f>
        <v>361941.6</v>
      </c>
      <c r="L83" s="247" t="n">
        <f aca="false">IF(J83&gt;0,K83/J83,0)</f>
        <v>0.701111111111111</v>
      </c>
    </row>
    <row r="84" customFormat="false" ht="15" hidden="false" customHeight="true" outlineLevel="0" collapsed="false">
      <c r="A84" s="238" t="s">
        <v>311</v>
      </c>
      <c r="B84" s="238" t="s">
        <v>287</v>
      </c>
      <c r="C84" s="238" t="s">
        <v>258</v>
      </c>
      <c r="D84" s="238" t="s">
        <v>383</v>
      </c>
      <c r="E84" s="238" t="s">
        <v>384</v>
      </c>
      <c r="F84" s="238" t="s">
        <v>397</v>
      </c>
      <c r="G84" s="239" t="n">
        <v>198.6</v>
      </c>
      <c r="H84" s="239" t="n">
        <v>77.9</v>
      </c>
      <c r="I84" s="240" t="n">
        <v>2622</v>
      </c>
      <c r="J84" s="241" t="n">
        <f aca="false">G84*I84</f>
        <v>520729.2</v>
      </c>
      <c r="K84" s="241" t="n">
        <f aca="false">J84-H84*I84</f>
        <v>316475.4</v>
      </c>
      <c r="L84" s="242" t="n">
        <f aca="false">IF(J84&gt;0,K84/J84,0)</f>
        <v>0.607754279959718</v>
      </c>
    </row>
    <row r="85" customFormat="false" ht="15" hidden="false" customHeight="true" outlineLevel="0" collapsed="false">
      <c r="A85" s="243" t="s">
        <v>311</v>
      </c>
      <c r="B85" s="243" t="s">
        <v>287</v>
      </c>
      <c r="C85" s="243" t="s">
        <v>258</v>
      </c>
      <c r="D85" s="243" t="s">
        <v>383</v>
      </c>
      <c r="E85" s="243" t="s">
        <v>396</v>
      </c>
      <c r="F85" s="243" t="s">
        <v>398</v>
      </c>
      <c r="G85" s="244" t="n">
        <v>196.6</v>
      </c>
      <c r="H85" s="244" t="n">
        <v>84.4</v>
      </c>
      <c r="I85" s="245" t="n">
        <v>7658</v>
      </c>
      <c r="J85" s="246" t="n">
        <f aca="false">G85*I85</f>
        <v>1505562.8</v>
      </c>
      <c r="K85" s="246" t="n">
        <f aca="false">J85-H85*I85</f>
        <v>859227.6</v>
      </c>
      <c r="L85" s="247" t="n">
        <f aca="false">IF(J85&gt;0,K85/J85,0)</f>
        <v>0.570701932858596</v>
      </c>
    </row>
    <row r="86" customFormat="false" ht="15" hidden="false" customHeight="true" outlineLevel="0" collapsed="false">
      <c r="A86" s="238" t="s">
        <v>311</v>
      </c>
      <c r="B86" s="238" t="s">
        <v>287</v>
      </c>
      <c r="C86" s="238" t="s">
        <v>258</v>
      </c>
      <c r="D86" s="238" t="s">
        <v>399</v>
      </c>
      <c r="E86" s="238" t="s">
        <v>402</v>
      </c>
      <c r="F86" s="238" t="s">
        <v>385</v>
      </c>
      <c r="G86" s="239" t="n">
        <v>185.6</v>
      </c>
      <c r="H86" s="239" t="n">
        <v>82.7</v>
      </c>
      <c r="I86" s="240" t="n">
        <v>3505</v>
      </c>
      <c r="J86" s="241" t="n">
        <f aca="false">G86*I86</f>
        <v>650528</v>
      </c>
      <c r="K86" s="241" t="n">
        <f aca="false">J86-H86*I86</f>
        <v>360664.5</v>
      </c>
      <c r="L86" s="242" t="n">
        <f aca="false">IF(J86&gt;0,K86/J86,0)</f>
        <v>0.554418103448276</v>
      </c>
    </row>
    <row r="87" customFormat="false" ht="15" hidden="false" customHeight="true" outlineLevel="0" collapsed="false">
      <c r="A87" s="243" t="s">
        <v>311</v>
      </c>
      <c r="B87" s="243" t="s">
        <v>287</v>
      </c>
      <c r="C87" s="243" t="s">
        <v>258</v>
      </c>
      <c r="D87" s="243" t="s">
        <v>399</v>
      </c>
      <c r="E87" s="243" t="s">
        <v>401</v>
      </c>
      <c r="F87" s="243" t="s">
        <v>387</v>
      </c>
      <c r="G87" s="244" t="n">
        <v>180.5</v>
      </c>
      <c r="H87" s="244" t="n">
        <v>68.2</v>
      </c>
      <c r="I87" s="245" t="n">
        <v>2820</v>
      </c>
      <c r="J87" s="246" t="n">
        <f aca="false">G87*I87</f>
        <v>509010</v>
      </c>
      <c r="K87" s="246" t="n">
        <f aca="false">J87-H87*I87</f>
        <v>316686</v>
      </c>
      <c r="L87" s="247" t="n">
        <f aca="false">IF(J87&gt;0,K87/J87,0)</f>
        <v>0.622160664819945</v>
      </c>
    </row>
    <row r="88" customFormat="false" ht="15" hidden="false" customHeight="true" outlineLevel="0" collapsed="false">
      <c r="A88" s="238" t="s">
        <v>311</v>
      </c>
      <c r="B88" s="238" t="s">
        <v>287</v>
      </c>
      <c r="C88" s="238" t="s">
        <v>258</v>
      </c>
      <c r="D88" s="238" t="s">
        <v>399</v>
      </c>
      <c r="E88" s="238" t="s">
        <v>401</v>
      </c>
      <c r="F88" s="238" t="s">
        <v>388</v>
      </c>
      <c r="G88" s="239" t="n">
        <v>186.1</v>
      </c>
      <c r="H88" s="239" t="n">
        <v>73.4</v>
      </c>
      <c r="I88" s="240" t="n">
        <v>914</v>
      </c>
      <c r="J88" s="241" t="n">
        <f aca="false">G88*I88</f>
        <v>170095.4</v>
      </c>
      <c r="K88" s="241" t="n">
        <f aca="false">J88-H88*I88</f>
        <v>103007.8</v>
      </c>
      <c r="L88" s="242" t="n">
        <f aca="false">IF(J88&gt;0,K88/J88,0)</f>
        <v>0.605588393336916</v>
      </c>
    </row>
    <row r="89" customFormat="false" ht="15" hidden="false" customHeight="true" outlineLevel="0" collapsed="false">
      <c r="A89" s="243" t="s">
        <v>311</v>
      </c>
      <c r="B89" s="243" t="s">
        <v>287</v>
      </c>
      <c r="C89" s="243" t="s">
        <v>258</v>
      </c>
      <c r="D89" s="243" t="s">
        <v>399</v>
      </c>
      <c r="E89" s="243" t="s">
        <v>402</v>
      </c>
      <c r="F89" s="243" t="s">
        <v>389</v>
      </c>
      <c r="G89" s="244" t="n">
        <v>185.2</v>
      </c>
      <c r="H89" s="244" t="n">
        <v>65.4</v>
      </c>
      <c r="I89" s="245" t="n">
        <v>2482</v>
      </c>
      <c r="J89" s="246" t="n">
        <f aca="false">G89*I89</f>
        <v>459666.4</v>
      </c>
      <c r="K89" s="246" t="n">
        <f aca="false">J89-H89*I89</f>
        <v>297343.6</v>
      </c>
      <c r="L89" s="247" t="n">
        <f aca="false">IF(J89&gt;0,K89/J89,0)</f>
        <v>0.646868250539957</v>
      </c>
    </row>
    <row r="90" customFormat="false" ht="15" hidden="false" customHeight="true" outlineLevel="0" collapsed="false">
      <c r="A90" s="238" t="s">
        <v>311</v>
      </c>
      <c r="B90" s="238" t="s">
        <v>287</v>
      </c>
      <c r="C90" s="238" t="s">
        <v>258</v>
      </c>
      <c r="D90" s="238" t="s">
        <v>399</v>
      </c>
      <c r="E90" s="238" t="s">
        <v>402</v>
      </c>
      <c r="F90" s="238" t="s">
        <v>390</v>
      </c>
      <c r="G90" s="239" t="n">
        <v>201.8</v>
      </c>
      <c r="H90" s="239" t="n">
        <v>72.7</v>
      </c>
      <c r="I90" s="240" t="n">
        <v>1829</v>
      </c>
      <c r="J90" s="241" t="n">
        <f aca="false">G90*I90</f>
        <v>369092.2</v>
      </c>
      <c r="K90" s="241" t="n">
        <f aca="false">J90-H90*I90</f>
        <v>236123.9</v>
      </c>
      <c r="L90" s="242" t="n">
        <f aca="false">IF(J90&gt;0,K90/J90,0)</f>
        <v>0.639742319127849</v>
      </c>
    </row>
    <row r="91" customFormat="false" ht="15" hidden="false" customHeight="true" outlineLevel="0" collapsed="false">
      <c r="A91" s="243" t="s">
        <v>311</v>
      </c>
      <c r="B91" s="243" t="s">
        <v>287</v>
      </c>
      <c r="C91" s="243" t="s">
        <v>258</v>
      </c>
      <c r="D91" s="243" t="s">
        <v>399</v>
      </c>
      <c r="E91" s="243" t="s">
        <v>402</v>
      </c>
      <c r="F91" s="243" t="s">
        <v>391</v>
      </c>
      <c r="G91" s="244" t="n">
        <v>227.3</v>
      </c>
      <c r="H91" s="244" t="n">
        <v>67.3</v>
      </c>
      <c r="I91" s="245" t="n">
        <v>1528</v>
      </c>
      <c r="J91" s="246" t="n">
        <f aca="false">G91*I91</f>
        <v>347314.4</v>
      </c>
      <c r="K91" s="246" t="n">
        <f aca="false">J91-H91*I91</f>
        <v>244480</v>
      </c>
      <c r="L91" s="247" t="n">
        <f aca="false">IF(J91&gt;0,K91/J91,0)</f>
        <v>0.703915530136384</v>
      </c>
    </row>
    <row r="92" customFormat="false" ht="15" hidden="false" customHeight="true" outlineLevel="0" collapsed="false">
      <c r="A92" s="238" t="s">
        <v>311</v>
      </c>
      <c r="B92" s="238" t="s">
        <v>287</v>
      </c>
      <c r="C92" s="238" t="s">
        <v>258</v>
      </c>
      <c r="D92" s="238" t="s">
        <v>399</v>
      </c>
      <c r="E92" s="238" t="s">
        <v>402</v>
      </c>
      <c r="F92" s="238" t="s">
        <v>392</v>
      </c>
      <c r="G92" s="239" t="n">
        <v>160.6</v>
      </c>
      <c r="H92" s="239" t="n">
        <v>66.7</v>
      </c>
      <c r="I92" s="240" t="n">
        <v>4576</v>
      </c>
      <c r="J92" s="241" t="n">
        <f aca="false">G92*I92</f>
        <v>734905.6</v>
      </c>
      <c r="K92" s="241" t="n">
        <f aca="false">J92-H92*I92</f>
        <v>429686.4</v>
      </c>
      <c r="L92" s="242" t="n">
        <f aca="false">IF(J92&gt;0,K92/J92,0)</f>
        <v>0.584682440846824</v>
      </c>
    </row>
    <row r="93" customFormat="false" ht="15" hidden="false" customHeight="true" outlineLevel="0" collapsed="false">
      <c r="A93" s="243" t="s">
        <v>311</v>
      </c>
      <c r="B93" s="243" t="s">
        <v>287</v>
      </c>
      <c r="C93" s="243" t="s">
        <v>258</v>
      </c>
      <c r="D93" s="243" t="s">
        <v>399</v>
      </c>
      <c r="E93" s="243" t="s">
        <v>400</v>
      </c>
      <c r="F93" s="243" t="s">
        <v>393</v>
      </c>
      <c r="G93" s="244" t="n">
        <v>154.5</v>
      </c>
      <c r="H93" s="244" t="n">
        <v>70.4</v>
      </c>
      <c r="I93" s="245" t="n">
        <v>2400</v>
      </c>
      <c r="J93" s="246" t="n">
        <f aca="false">G93*I93</f>
        <v>370800</v>
      </c>
      <c r="K93" s="246" t="n">
        <f aca="false">J93-H93*I93</f>
        <v>201840</v>
      </c>
      <c r="L93" s="247" t="n">
        <f aca="false">IF(J93&gt;0,K93/J93,0)</f>
        <v>0.544336569579288</v>
      </c>
    </row>
    <row r="94" customFormat="false" ht="15" hidden="false" customHeight="true" outlineLevel="0" collapsed="false">
      <c r="A94" s="238" t="s">
        <v>311</v>
      </c>
      <c r="B94" s="238" t="s">
        <v>287</v>
      </c>
      <c r="C94" s="238" t="s">
        <v>258</v>
      </c>
      <c r="D94" s="238" t="s">
        <v>399</v>
      </c>
      <c r="E94" s="238" t="s">
        <v>400</v>
      </c>
      <c r="F94" s="238" t="s">
        <v>394</v>
      </c>
      <c r="G94" s="239" t="n">
        <v>194.4</v>
      </c>
      <c r="H94" s="239" t="n">
        <v>81.4</v>
      </c>
      <c r="I94" s="240" t="n">
        <v>1172</v>
      </c>
      <c r="J94" s="241" t="n">
        <f aca="false">G94*I94</f>
        <v>227836.8</v>
      </c>
      <c r="K94" s="241" t="n">
        <f aca="false">J94-H94*I94</f>
        <v>132436</v>
      </c>
      <c r="L94" s="242" t="n">
        <f aca="false">IF(J94&gt;0,K94/J94,0)</f>
        <v>0.581275720164609</v>
      </c>
    </row>
    <row r="95" customFormat="false" ht="15" hidden="false" customHeight="true" outlineLevel="0" collapsed="false">
      <c r="A95" s="243" t="s">
        <v>311</v>
      </c>
      <c r="B95" s="243" t="s">
        <v>287</v>
      </c>
      <c r="C95" s="243" t="s">
        <v>258</v>
      </c>
      <c r="D95" s="243" t="s">
        <v>399</v>
      </c>
      <c r="E95" s="243" t="s">
        <v>402</v>
      </c>
      <c r="F95" s="243" t="s">
        <v>395</v>
      </c>
      <c r="G95" s="244" t="n">
        <v>233.1</v>
      </c>
      <c r="H95" s="244" t="n">
        <v>76.4</v>
      </c>
      <c r="I95" s="245" t="n">
        <v>902</v>
      </c>
      <c r="J95" s="246" t="n">
        <f aca="false">G95*I95</f>
        <v>210256.2</v>
      </c>
      <c r="K95" s="246" t="n">
        <f aca="false">J95-H95*I95</f>
        <v>141343.4</v>
      </c>
      <c r="L95" s="247" t="n">
        <f aca="false">IF(J95&gt;0,K95/J95,0)</f>
        <v>0.672243672243672</v>
      </c>
    </row>
    <row r="96" customFormat="false" ht="15" hidden="false" customHeight="true" outlineLevel="0" collapsed="false">
      <c r="A96" s="238" t="s">
        <v>311</v>
      </c>
      <c r="B96" s="238" t="s">
        <v>287</v>
      </c>
      <c r="C96" s="238" t="s">
        <v>258</v>
      </c>
      <c r="D96" s="238" t="s">
        <v>399</v>
      </c>
      <c r="E96" s="238" t="s">
        <v>401</v>
      </c>
      <c r="F96" s="238" t="s">
        <v>397</v>
      </c>
      <c r="G96" s="239" t="n">
        <v>184.3</v>
      </c>
      <c r="H96" s="239" t="n">
        <v>81</v>
      </c>
      <c r="I96" s="240" t="n">
        <v>4528</v>
      </c>
      <c r="J96" s="241" t="n">
        <f aca="false">G96*I96</f>
        <v>834510.4</v>
      </c>
      <c r="K96" s="241" t="n">
        <f aca="false">J96-H96*I96</f>
        <v>467742.4</v>
      </c>
      <c r="L96" s="242" t="n">
        <f aca="false">IF(J96&gt;0,K96/J96,0)</f>
        <v>0.560499186109604</v>
      </c>
    </row>
    <row r="97" customFormat="false" ht="15" hidden="false" customHeight="true" outlineLevel="0" collapsed="false">
      <c r="A97" s="243" t="s">
        <v>311</v>
      </c>
      <c r="B97" s="243" t="s">
        <v>287</v>
      </c>
      <c r="C97" s="243" t="s">
        <v>258</v>
      </c>
      <c r="D97" s="243" t="s">
        <v>399</v>
      </c>
      <c r="E97" s="243" t="s">
        <v>402</v>
      </c>
      <c r="F97" s="243" t="s">
        <v>398</v>
      </c>
      <c r="G97" s="244" t="n">
        <v>247.3</v>
      </c>
      <c r="H97" s="244" t="n">
        <v>83.8</v>
      </c>
      <c r="I97" s="245" t="n">
        <v>4107</v>
      </c>
      <c r="J97" s="246" t="n">
        <f aca="false">G97*I97</f>
        <v>1015661.1</v>
      </c>
      <c r="K97" s="246" t="n">
        <f aca="false">J97-H97*I97</f>
        <v>671494.5</v>
      </c>
      <c r="L97" s="247" t="n">
        <f aca="false">IF(J97&gt;0,K97/J97,0)</f>
        <v>0.661140315406389</v>
      </c>
    </row>
    <row r="98" customFormat="false" ht="15" hidden="false" customHeight="true" outlineLevel="0" collapsed="false">
      <c r="A98" s="238" t="s">
        <v>311</v>
      </c>
      <c r="B98" s="238" t="s">
        <v>287</v>
      </c>
      <c r="C98" s="238" t="s">
        <v>258</v>
      </c>
      <c r="D98" s="238" t="s">
        <v>403</v>
      </c>
      <c r="E98" s="238" t="s">
        <v>406</v>
      </c>
      <c r="F98" s="238" t="s">
        <v>385</v>
      </c>
      <c r="G98" s="239" t="n">
        <v>180.2</v>
      </c>
      <c r="H98" s="239" t="n">
        <v>77.2</v>
      </c>
      <c r="I98" s="240" t="n">
        <v>1098</v>
      </c>
      <c r="J98" s="241" t="n">
        <f aca="false">G98*I98</f>
        <v>197859.6</v>
      </c>
      <c r="K98" s="241" t="n">
        <f aca="false">J98-H98*I98</f>
        <v>113094</v>
      </c>
      <c r="L98" s="242" t="n">
        <f aca="false">IF(J98&gt;0,K98/J98,0)</f>
        <v>0.571587125416204</v>
      </c>
    </row>
    <row r="99" customFormat="false" ht="15" hidden="false" customHeight="true" outlineLevel="0" collapsed="false">
      <c r="A99" s="243" t="s">
        <v>311</v>
      </c>
      <c r="B99" s="243" t="s">
        <v>287</v>
      </c>
      <c r="C99" s="243" t="s">
        <v>258</v>
      </c>
      <c r="D99" s="243" t="s">
        <v>403</v>
      </c>
      <c r="E99" s="243" t="s">
        <v>404</v>
      </c>
      <c r="F99" s="243" t="s">
        <v>387</v>
      </c>
      <c r="G99" s="244" t="n">
        <v>185.9</v>
      </c>
      <c r="H99" s="244" t="n">
        <v>74.1</v>
      </c>
      <c r="I99" s="245" t="n">
        <v>1942</v>
      </c>
      <c r="J99" s="246" t="n">
        <f aca="false">G99*I99</f>
        <v>361017.8</v>
      </c>
      <c r="K99" s="246" t="n">
        <f aca="false">J99-H99*I99</f>
        <v>217115.6</v>
      </c>
      <c r="L99" s="247" t="n">
        <f aca="false">IF(J99&gt;0,K99/J99,0)</f>
        <v>0.601398601398602</v>
      </c>
    </row>
    <row r="100" customFormat="false" ht="15" hidden="false" customHeight="true" outlineLevel="0" collapsed="false">
      <c r="A100" s="238" t="s">
        <v>311</v>
      </c>
      <c r="B100" s="238" t="s">
        <v>287</v>
      </c>
      <c r="C100" s="238" t="s">
        <v>258</v>
      </c>
      <c r="D100" s="238" t="s">
        <v>403</v>
      </c>
      <c r="E100" s="238" t="s">
        <v>406</v>
      </c>
      <c r="F100" s="238" t="s">
        <v>388</v>
      </c>
      <c r="G100" s="239" t="n">
        <v>159.8</v>
      </c>
      <c r="H100" s="239" t="n">
        <v>77.4</v>
      </c>
      <c r="I100" s="240" t="n">
        <v>2400</v>
      </c>
      <c r="J100" s="241" t="n">
        <f aca="false">G100*I100</f>
        <v>383520</v>
      </c>
      <c r="K100" s="241" t="n">
        <f aca="false">J100-H100*I100</f>
        <v>197760</v>
      </c>
      <c r="L100" s="242" t="n">
        <f aca="false">IF(J100&gt;0,K100/J100,0)</f>
        <v>0.515644555694618</v>
      </c>
    </row>
    <row r="101" customFormat="false" ht="15" hidden="false" customHeight="true" outlineLevel="0" collapsed="false">
      <c r="A101" s="243" t="s">
        <v>311</v>
      </c>
      <c r="B101" s="243" t="s">
        <v>287</v>
      </c>
      <c r="C101" s="243" t="s">
        <v>258</v>
      </c>
      <c r="D101" s="243" t="s">
        <v>403</v>
      </c>
      <c r="E101" s="243" t="s">
        <v>404</v>
      </c>
      <c r="F101" s="243" t="s">
        <v>389</v>
      </c>
      <c r="G101" s="244" t="n">
        <v>202</v>
      </c>
      <c r="H101" s="244" t="n">
        <v>84.4</v>
      </c>
      <c r="I101" s="245" t="n">
        <v>854</v>
      </c>
      <c r="J101" s="246" t="n">
        <f aca="false">G101*I101</f>
        <v>172508</v>
      </c>
      <c r="K101" s="246" t="n">
        <f aca="false">J101-H101*I101</f>
        <v>100430.4</v>
      </c>
      <c r="L101" s="247" t="n">
        <f aca="false">IF(J101&gt;0,K101/J101,0)</f>
        <v>0.582178217821782</v>
      </c>
    </row>
    <row r="102" customFormat="false" ht="15" hidden="false" customHeight="true" outlineLevel="0" collapsed="false">
      <c r="A102" s="238" t="s">
        <v>311</v>
      </c>
      <c r="B102" s="238" t="s">
        <v>287</v>
      </c>
      <c r="C102" s="238" t="s">
        <v>258</v>
      </c>
      <c r="D102" s="238" t="s">
        <v>403</v>
      </c>
      <c r="E102" s="238" t="s">
        <v>404</v>
      </c>
      <c r="F102" s="238" t="s">
        <v>390</v>
      </c>
      <c r="G102" s="239" t="n">
        <v>217</v>
      </c>
      <c r="H102" s="239" t="n">
        <v>77.6</v>
      </c>
      <c r="I102" s="240" t="n">
        <v>927</v>
      </c>
      <c r="J102" s="241" t="n">
        <f aca="false">G102*I102</f>
        <v>201159</v>
      </c>
      <c r="K102" s="241" t="n">
        <f aca="false">J102-H102*I102</f>
        <v>129223.8</v>
      </c>
      <c r="L102" s="242" t="n">
        <f aca="false">IF(J102&gt;0,K102/J102,0)</f>
        <v>0.642396313364055</v>
      </c>
    </row>
    <row r="103" customFormat="false" ht="15" hidden="false" customHeight="true" outlineLevel="0" collapsed="false">
      <c r="A103" s="243" t="s">
        <v>311</v>
      </c>
      <c r="B103" s="243" t="s">
        <v>287</v>
      </c>
      <c r="C103" s="243" t="s">
        <v>258</v>
      </c>
      <c r="D103" s="243" t="s">
        <v>403</v>
      </c>
      <c r="E103" s="243" t="s">
        <v>406</v>
      </c>
      <c r="F103" s="243" t="s">
        <v>391</v>
      </c>
      <c r="G103" s="244" t="n">
        <v>170</v>
      </c>
      <c r="H103" s="244" t="n">
        <v>75</v>
      </c>
      <c r="I103" s="245" t="n">
        <v>1339</v>
      </c>
      <c r="J103" s="246" t="n">
        <f aca="false">G103*I103</f>
        <v>227630</v>
      </c>
      <c r="K103" s="246" t="n">
        <f aca="false">J103-H103*I103</f>
        <v>127205</v>
      </c>
      <c r="L103" s="247" t="n">
        <f aca="false">IF(J103&gt;0,K103/J103,0)</f>
        <v>0.558823529411765</v>
      </c>
    </row>
    <row r="104" customFormat="false" ht="15" hidden="false" customHeight="true" outlineLevel="0" collapsed="false">
      <c r="A104" s="238" t="s">
        <v>311</v>
      </c>
      <c r="B104" s="238" t="s">
        <v>287</v>
      </c>
      <c r="C104" s="238" t="s">
        <v>258</v>
      </c>
      <c r="D104" s="238" t="s">
        <v>403</v>
      </c>
      <c r="E104" s="238" t="s">
        <v>405</v>
      </c>
      <c r="F104" s="238" t="s">
        <v>392</v>
      </c>
      <c r="G104" s="239" t="n">
        <v>174.5</v>
      </c>
      <c r="H104" s="239" t="n">
        <v>84.9</v>
      </c>
      <c r="I104" s="240" t="n">
        <v>378</v>
      </c>
      <c r="J104" s="241" t="n">
        <f aca="false">G104*I104</f>
        <v>65961</v>
      </c>
      <c r="K104" s="241" t="n">
        <f aca="false">J104-H104*I104</f>
        <v>33868.8</v>
      </c>
      <c r="L104" s="242" t="n">
        <f aca="false">IF(J104&gt;0,K104/J104,0)</f>
        <v>0.513467048710602</v>
      </c>
    </row>
    <row r="105" customFormat="false" ht="15" hidden="false" customHeight="true" outlineLevel="0" collapsed="false">
      <c r="A105" s="243" t="s">
        <v>311</v>
      </c>
      <c r="B105" s="243" t="s">
        <v>287</v>
      </c>
      <c r="C105" s="243" t="s">
        <v>258</v>
      </c>
      <c r="D105" s="243" t="s">
        <v>403</v>
      </c>
      <c r="E105" s="243" t="s">
        <v>404</v>
      </c>
      <c r="F105" s="243" t="s">
        <v>393</v>
      </c>
      <c r="G105" s="244" t="n">
        <v>173.6</v>
      </c>
      <c r="H105" s="244" t="n">
        <v>76</v>
      </c>
      <c r="I105" s="245" t="n">
        <v>1713</v>
      </c>
      <c r="J105" s="246" t="n">
        <f aca="false">G105*I105</f>
        <v>297376.8</v>
      </c>
      <c r="K105" s="246" t="n">
        <f aca="false">J105-H105*I105</f>
        <v>167188.8</v>
      </c>
      <c r="L105" s="247" t="n">
        <f aca="false">IF(J105&gt;0,K105/J105,0)</f>
        <v>0.56221198156682</v>
      </c>
    </row>
    <row r="106" customFormat="false" ht="15" hidden="false" customHeight="true" outlineLevel="0" collapsed="false">
      <c r="A106" s="238" t="s">
        <v>311</v>
      </c>
      <c r="B106" s="238" t="s">
        <v>287</v>
      </c>
      <c r="C106" s="238" t="s">
        <v>258</v>
      </c>
      <c r="D106" s="238" t="s">
        <v>403</v>
      </c>
      <c r="E106" s="238" t="s">
        <v>404</v>
      </c>
      <c r="F106" s="238" t="s">
        <v>394</v>
      </c>
      <c r="G106" s="239" t="n">
        <v>216.6</v>
      </c>
      <c r="H106" s="239" t="n">
        <v>67.1</v>
      </c>
      <c r="I106" s="240" t="n">
        <v>1589</v>
      </c>
      <c r="J106" s="241" t="n">
        <f aca="false">G106*I106</f>
        <v>344177.4</v>
      </c>
      <c r="K106" s="241" t="n">
        <f aca="false">J106-H106*I106</f>
        <v>237555.5</v>
      </c>
      <c r="L106" s="242" t="n">
        <f aca="false">IF(J106&gt;0,K106/J106,0)</f>
        <v>0.690212373037858</v>
      </c>
    </row>
    <row r="107" customFormat="false" ht="15" hidden="false" customHeight="true" outlineLevel="0" collapsed="false">
      <c r="A107" s="243" t="s">
        <v>311</v>
      </c>
      <c r="B107" s="243" t="s">
        <v>287</v>
      </c>
      <c r="C107" s="243" t="s">
        <v>258</v>
      </c>
      <c r="D107" s="243" t="s">
        <v>403</v>
      </c>
      <c r="E107" s="243" t="s">
        <v>404</v>
      </c>
      <c r="F107" s="243" t="s">
        <v>395</v>
      </c>
      <c r="G107" s="244" t="n">
        <v>253</v>
      </c>
      <c r="H107" s="244" t="n">
        <v>75.9</v>
      </c>
      <c r="I107" s="245" t="n">
        <v>3163</v>
      </c>
      <c r="J107" s="246" t="n">
        <f aca="false">G107*I107</f>
        <v>800239</v>
      </c>
      <c r="K107" s="246" t="n">
        <f aca="false">J107-H107*I107</f>
        <v>560167.3</v>
      </c>
      <c r="L107" s="247" t="n">
        <f aca="false">IF(J107&gt;0,K107/J107,0)</f>
        <v>0.7</v>
      </c>
    </row>
    <row r="108" customFormat="false" ht="15" hidden="false" customHeight="true" outlineLevel="0" collapsed="false">
      <c r="A108" s="238" t="s">
        <v>311</v>
      </c>
      <c r="B108" s="238" t="s">
        <v>287</v>
      </c>
      <c r="C108" s="238" t="s">
        <v>258</v>
      </c>
      <c r="D108" s="238" t="s">
        <v>403</v>
      </c>
      <c r="E108" s="238" t="s">
        <v>405</v>
      </c>
      <c r="F108" s="238" t="s">
        <v>397</v>
      </c>
      <c r="G108" s="239" t="n">
        <v>273.7</v>
      </c>
      <c r="H108" s="239" t="n">
        <v>78.8</v>
      </c>
      <c r="I108" s="240" t="n">
        <v>1327</v>
      </c>
      <c r="J108" s="241" t="n">
        <f aca="false">G108*I108</f>
        <v>363199.9</v>
      </c>
      <c r="K108" s="241" t="n">
        <f aca="false">J108-H108*I108</f>
        <v>258632.3</v>
      </c>
      <c r="L108" s="242" t="n">
        <f aca="false">IF(J108&gt;0,K108/J108,0)</f>
        <v>0.7120935330654</v>
      </c>
    </row>
    <row r="109" customFormat="false" ht="15" hidden="false" customHeight="true" outlineLevel="0" collapsed="false">
      <c r="A109" s="243" t="s">
        <v>311</v>
      </c>
      <c r="B109" s="243" t="s">
        <v>287</v>
      </c>
      <c r="C109" s="243" t="s">
        <v>258</v>
      </c>
      <c r="D109" s="243" t="s">
        <v>403</v>
      </c>
      <c r="E109" s="243" t="s">
        <v>406</v>
      </c>
      <c r="F109" s="243" t="s">
        <v>398</v>
      </c>
      <c r="G109" s="244" t="n">
        <v>175.9</v>
      </c>
      <c r="H109" s="244" t="n">
        <v>79.6</v>
      </c>
      <c r="I109" s="245" t="n">
        <v>3219</v>
      </c>
      <c r="J109" s="246" t="n">
        <f aca="false">G109*I109</f>
        <v>566222.1</v>
      </c>
      <c r="K109" s="246" t="n">
        <f aca="false">J109-H109*I109</f>
        <v>309989.7</v>
      </c>
      <c r="L109" s="247" t="n">
        <f aca="false">IF(J109&gt;0,K109/J109,0)</f>
        <v>0.547470153496305</v>
      </c>
    </row>
    <row r="110" customFormat="false" ht="15" hidden="false" customHeight="true" outlineLevel="0" collapsed="false">
      <c r="A110" s="238" t="s">
        <v>408</v>
      </c>
      <c r="B110" s="238" t="s">
        <v>277</v>
      </c>
      <c r="C110" s="238" t="s">
        <v>258</v>
      </c>
      <c r="D110" s="238" t="s">
        <v>383</v>
      </c>
      <c r="E110" s="238" t="s">
        <v>396</v>
      </c>
      <c r="F110" s="238" t="s">
        <v>385</v>
      </c>
      <c r="G110" s="239" t="n">
        <v>97</v>
      </c>
      <c r="H110" s="239" t="n">
        <v>48</v>
      </c>
      <c r="I110" s="240" t="n">
        <v>5303</v>
      </c>
      <c r="J110" s="241" t="n">
        <f aca="false">G110*I110</f>
        <v>514391</v>
      </c>
      <c r="K110" s="241" t="n">
        <f aca="false">J110-H110*I110</f>
        <v>259847</v>
      </c>
      <c r="L110" s="242" t="n">
        <f aca="false">IF(J110&gt;0,K110/J110,0)</f>
        <v>0.505154639175258</v>
      </c>
    </row>
    <row r="111" customFormat="false" ht="15" hidden="false" customHeight="true" outlineLevel="0" collapsed="false">
      <c r="A111" s="243" t="s">
        <v>408</v>
      </c>
      <c r="B111" s="243" t="s">
        <v>277</v>
      </c>
      <c r="C111" s="243" t="s">
        <v>258</v>
      </c>
      <c r="D111" s="243" t="s">
        <v>383</v>
      </c>
      <c r="E111" s="243" t="s">
        <v>396</v>
      </c>
      <c r="F111" s="243" t="s">
        <v>387</v>
      </c>
      <c r="G111" s="244" t="n">
        <v>90</v>
      </c>
      <c r="H111" s="244" t="n">
        <v>43.2</v>
      </c>
      <c r="I111" s="245" t="n">
        <v>5589</v>
      </c>
      <c r="J111" s="246" t="n">
        <f aca="false">G111*I111</f>
        <v>503010</v>
      </c>
      <c r="K111" s="246" t="n">
        <f aca="false">J111-H111*I111</f>
        <v>261565.2</v>
      </c>
      <c r="L111" s="247" t="n">
        <f aca="false">IF(J111&gt;0,K111/J111,0)</f>
        <v>0.52</v>
      </c>
    </row>
    <row r="112" customFormat="false" ht="15" hidden="false" customHeight="true" outlineLevel="0" collapsed="false">
      <c r="A112" s="238" t="s">
        <v>408</v>
      </c>
      <c r="B112" s="238" t="s">
        <v>277</v>
      </c>
      <c r="C112" s="238" t="s">
        <v>258</v>
      </c>
      <c r="D112" s="238" t="s">
        <v>383</v>
      </c>
      <c r="E112" s="238" t="s">
        <v>384</v>
      </c>
      <c r="F112" s="238" t="s">
        <v>388</v>
      </c>
      <c r="G112" s="239" t="n">
        <v>145.5</v>
      </c>
      <c r="H112" s="239" t="n">
        <v>48.4</v>
      </c>
      <c r="I112" s="240" t="n">
        <v>2829</v>
      </c>
      <c r="J112" s="241" t="n">
        <f aca="false">G112*I112</f>
        <v>411619.5</v>
      </c>
      <c r="K112" s="241" t="n">
        <f aca="false">J112-H112*I112</f>
        <v>274695.9</v>
      </c>
      <c r="L112" s="242" t="n">
        <f aca="false">IF(J112&gt;0,K112/J112,0)</f>
        <v>0.667353951890034</v>
      </c>
    </row>
    <row r="113" customFormat="false" ht="15" hidden="false" customHeight="true" outlineLevel="0" collapsed="false">
      <c r="A113" s="243" t="s">
        <v>408</v>
      </c>
      <c r="B113" s="243" t="s">
        <v>277</v>
      </c>
      <c r="C113" s="243" t="s">
        <v>258</v>
      </c>
      <c r="D113" s="243" t="s">
        <v>383</v>
      </c>
      <c r="E113" s="243" t="s">
        <v>396</v>
      </c>
      <c r="F113" s="243" t="s">
        <v>389</v>
      </c>
      <c r="G113" s="244" t="n">
        <v>95.7</v>
      </c>
      <c r="H113" s="244" t="n">
        <v>46.3</v>
      </c>
      <c r="I113" s="245" t="n">
        <v>2134</v>
      </c>
      <c r="J113" s="246" t="n">
        <f aca="false">G113*I113</f>
        <v>204223.8</v>
      </c>
      <c r="K113" s="246" t="n">
        <f aca="false">J113-H113*I113</f>
        <v>105419.6</v>
      </c>
      <c r="L113" s="247" t="n">
        <f aca="false">IF(J113&gt;0,K113/J113,0)</f>
        <v>0.51619644723093</v>
      </c>
    </row>
    <row r="114" customFormat="false" ht="15" hidden="false" customHeight="true" outlineLevel="0" collapsed="false">
      <c r="A114" s="238" t="s">
        <v>408</v>
      </c>
      <c r="B114" s="238" t="s">
        <v>277</v>
      </c>
      <c r="C114" s="238" t="s">
        <v>258</v>
      </c>
      <c r="D114" s="238" t="s">
        <v>383</v>
      </c>
      <c r="E114" s="238" t="s">
        <v>386</v>
      </c>
      <c r="F114" s="238" t="s">
        <v>390</v>
      </c>
      <c r="G114" s="239" t="n">
        <v>103.7</v>
      </c>
      <c r="H114" s="239" t="n">
        <v>43.3</v>
      </c>
      <c r="I114" s="240" t="n">
        <v>7724</v>
      </c>
      <c r="J114" s="241" t="n">
        <f aca="false">G114*I114</f>
        <v>800978.8</v>
      </c>
      <c r="K114" s="241" t="n">
        <f aca="false">J114-H114*I114</f>
        <v>466529.6</v>
      </c>
      <c r="L114" s="242" t="n">
        <f aca="false">IF(J114&gt;0,K114/J114,0)</f>
        <v>0.5824493731919</v>
      </c>
    </row>
    <row r="115" customFormat="false" ht="15" hidden="false" customHeight="true" outlineLevel="0" collapsed="false">
      <c r="A115" s="243" t="s">
        <v>408</v>
      </c>
      <c r="B115" s="243" t="s">
        <v>277</v>
      </c>
      <c r="C115" s="243" t="s">
        <v>258</v>
      </c>
      <c r="D115" s="243" t="s">
        <v>383</v>
      </c>
      <c r="E115" s="243" t="s">
        <v>384</v>
      </c>
      <c r="F115" s="243" t="s">
        <v>391</v>
      </c>
      <c r="G115" s="244" t="n">
        <v>86</v>
      </c>
      <c r="H115" s="244" t="n">
        <v>41.9</v>
      </c>
      <c r="I115" s="245" t="n">
        <v>7153</v>
      </c>
      <c r="J115" s="246" t="n">
        <f aca="false">G115*I115</f>
        <v>615158</v>
      </c>
      <c r="K115" s="246" t="n">
        <f aca="false">J115-H115*I115</f>
        <v>315447.3</v>
      </c>
      <c r="L115" s="247" t="n">
        <f aca="false">IF(J115&gt;0,K115/J115,0)</f>
        <v>0.512790697674419</v>
      </c>
    </row>
    <row r="116" customFormat="false" ht="15" hidden="false" customHeight="true" outlineLevel="0" collapsed="false">
      <c r="A116" s="238" t="s">
        <v>408</v>
      </c>
      <c r="B116" s="238" t="s">
        <v>277</v>
      </c>
      <c r="C116" s="238" t="s">
        <v>258</v>
      </c>
      <c r="D116" s="238" t="s">
        <v>383</v>
      </c>
      <c r="E116" s="238" t="s">
        <v>396</v>
      </c>
      <c r="F116" s="238" t="s">
        <v>392</v>
      </c>
      <c r="G116" s="239" t="n">
        <v>84.7</v>
      </c>
      <c r="H116" s="239" t="n">
        <v>42.3</v>
      </c>
      <c r="I116" s="240" t="n">
        <v>3547</v>
      </c>
      <c r="J116" s="241" t="n">
        <f aca="false">G116*I116</f>
        <v>300430.9</v>
      </c>
      <c r="K116" s="241" t="n">
        <f aca="false">J116-H116*I116</f>
        <v>150392.8</v>
      </c>
      <c r="L116" s="242" t="n">
        <f aca="false">IF(J116&gt;0,K116/J116,0)</f>
        <v>0.500590318772137</v>
      </c>
    </row>
    <row r="117" customFormat="false" ht="15" hidden="false" customHeight="true" outlineLevel="0" collapsed="false">
      <c r="A117" s="243" t="s">
        <v>408</v>
      </c>
      <c r="B117" s="243" t="s">
        <v>277</v>
      </c>
      <c r="C117" s="243" t="s">
        <v>258</v>
      </c>
      <c r="D117" s="243" t="s">
        <v>383</v>
      </c>
      <c r="E117" s="243" t="s">
        <v>384</v>
      </c>
      <c r="F117" s="243" t="s">
        <v>393</v>
      </c>
      <c r="G117" s="244" t="n">
        <v>123.2</v>
      </c>
      <c r="H117" s="244" t="n">
        <v>41.3</v>
      </c>
      <c r="I117" s="245" t="n">
        <v>2586</v>
      </c>
      <c r="J117" s="246" t="n">
        <f aca="false">G117*I117</f>
        <v>318595.2</v>
      </c>
      <c r="K117" s="246" t="n">
        <f aca="false">J117-H117*I117</f>
        <v>211793.4</v>
      </c>
      <c r="L117" s="247" t="n">
        <f aca="false">IF(J117&gt;0,K117/J117,0)</f>
        <v>0.664772727272727</v>
      </c>
    </row>
    <row r="118" customFormat="false" ht="15" hidden="false" customHeight="true" outlineLevel="0" collapsed="false">
      <c r="A118" s="238" t="s">
        <v>408</v>
      </c>
      <c r="B118" s="238" t="s">
        <v>277</v>
      </c>
      <c r="C118" s="238" t="s">
        <v>258</v>
      </c>
      <c r="D118" s="238" t="s">
        <v>383</v>
      </c>
      <c r="E118" s="238" t="s">
        <v>386</v>
      </c>
      <c r="F118" s="238" t="s">
        <v>394</v>
      </c>
      <c r="G118" s="239" t="n">
        <v>126.1</v>
      </c>
      <c r="H118" s="239" t="n">
        <v>39.1</v>
      </c>
      <c r="I118" s="240" t="n">
        <v>1835</v>
      </c>
      <c r="J118" s="241" t="n">
        <f aca="false">G118*I118</f>
        <v>231393.5</v>
      </c>
      <c r="K118" s="241" t="n">
        <f aca="false">J118-H118*I118</f>
        <v>159645</v>
      </c>
      <c r="L118" s="242" t="n">
        <f aca="false">IF(J118&gt;0,K118/J118,0)</f>
        <v>0.689928628072958</v>
      </c>
    </row>
    <row r="119" customFormat="false" ht="15" hidden="false" customHeight="true" outlineLevel="0" collapsed="false">
      <c r="A119" s="243" t="s">
        <v>408</v>
      </c>
      <c r="B119" s="243" t="s">
        <v>277</v>
      </c>
      <c r="C119" s="243" t="s">
        <v>258</v>
      </c>
      <c r="D119" s="243" t="s">
        <v>383</v>
      </c>
      <c r="E119" s="243" t="s">
        <v>384</v>
      </c>
      <c r="F119" s="243" t="s">
        <v>395</v>
      </c>
      <c r="G119" s="244" t="n">
        <v>78.3</v>
      </c>
      <c r="H119" s="244" t="n">
        <v>38.5</v>
      </c>
      <c r="I119" s="245" t="n">
        <v>2990</v>
      </c>
      <c r="J119" s="246" t="n">
        <f aca="false">G119*I119</f>
        <v>234117</v>
      </c>
      <c r="K119" s="246" t="n">
        <f aca="false">J119-H119*I119</f>
        <v>119002</v>
      </c>
      <c r="L119" s="247" t="n">
        <f aca="false">IF(J119&gt;0,K119/J119,0)</f>
        <v>0.508301404853129</v>
      </c>
    </row>
    <row r="120" customFormat="false" ht="15" hidden="false" customHeight="true" outlineLevel="0" collapsed="false">
      <c r="A120" s="238" t="s">
        <v>408</v>
      </c>
      <c r="B120" s="238" t="s">
        <v>277</v>
      </c>
      <c r="C120" s="238" t="s">
        <v>258</v>
      </c>
      <c r="D120" s="238" t="s">
        <v>383</v>
      </c>
      <c r="E120" s="238" t="s">
        <v>384</v>
      </c>
      <c r="F120" s="238" t="s">
        <v>397</v>
      </c>
      <c r="G120" s="239" t="n">
        <v>134</v>
      </c>
      <c r="H120" s="239" t="n">
        <v>39</v>
      </c>
      <c r="I120" s="240" t="n">
        <v>6943</v>
      </c>
      <c r="J120" s="241" t="n">
        <f aca="false">G120*I120</f>
        <v>930362</v>
      </c>
      <c r="K120" s="241" t="n">
        <f aca="false">J120-H120*I120</f>
        <v>659585</v>
      </c>
      <c r="L120" s="242" t="n">
        <f aca="false">IF(J120&gt;0,K120/J120,0)</f>
        <v>0.708955223880597</v>
      </c>
    </row>
    <row r="121" customFormat="false" ht="15" hidden="false" customHeight="true" outlineLevel="0" collapsed="false">
      <c r="A121" s="243" t="s">
        <v>408</v>
      </c>
      <c r="B121" s="243" t="s">
        <v>277</v>
      </c>
      <c r="C121" s="243" t="s">
        <v>258</v>
      </c>
      <c r="D121" s="243" t="s">
        <v>383</v>
      </c>
      <c r="E121" s="243" t="s">
        <v>396</v>
      </c>
      <c r="F121" s="243" t="s">
        <v>398</v>
      </c>
      <c r="G121" s="244" t="n">
        <v>141.1</v>
      </c>
      <c r="H121" s="244" t="n">
        <v>45.9</v>
      </c>
      <c r="I121" s="245" t="n">
        <v>7129</v>
      </c>
      <c r="J121" s="246" t="n">
        <f aca="false">G121*I121</f>
        <v>1005901.9</v>
      </c>
      <c r="K121" s="246" t="n">
        <f aca="false">J121-H121*I121</f>
        <v>678680.8</v>
      </c>
      <c r="L121" s="247" t="n">
        <f aca="false">IF(J121&gt;0,K121/J121,0)</f>
        <v>0.674698795180723</v>
      </c>
    </row>
    <row r="122" customFormat="false" ht="15" hidden="false" customHeight="true" outlineLevel="0" collapsed="false">
      <c r="A122" s="238" t="s">
        <v>408</v>
      </c>
      <c r="B122" s="238" t="s">
        <v>277</v>
      </c>
      <c r="C122" s="238" t="s">
        <v>258</v>
      </c>
      <c r="D122" s="238" t="s">
        <v>399</v>
      </c>
      <c r="E122" s="238" t="s">
        <v>401</v>
      </c>
      <c r="F122" s="238" t="s">
        <v>385</v>
      </c>
      <c r="G122" s="239" t="n">
        <v>145.4</v>
      </c>
      <c r="H122" s="239" t="n">
        <v>47.2</v>
      </c>
      <c r="I122" s="240" t="n">
        <v>2723</v>
      </c>
      <c r="J122" s="241" t="n">
        <f aca="false">G122*I122</f>
        <v>395924.2</v>
      </c>
      <c r="K122" s="241" t="n">
        <f aca="false">J122-H122*I122</f>
        <v>267398.6</v>
      </c>
      <c r="L122" s="242" t="n">
        <f aca="false">IF(J122&gt;0,K122/J122,0)</f>
        <v>0.675378266850069</v>
      </c>
    </row>
    <row r="123" customFormat="false" ht="15" hidden="false" customHeight="true" outlineLevel="0" collapsed="false">
      <c r="A123" s="243" t="s">
        <v>408</v>
      </c>
      <c r="B123" s="243" t="s">
        <v>277</v>
      </c>
      <c r="C123" s="243" t="s">
        <v>258</v>
      </c>
      <c r="D123" s="243" t="s">
        <v>399</v>
      </c>
      <c r="E123" s="243" t="s">
        <v>400</v>
      </c>
      <c r="F123" s="243" t="s">
        <v>387</v>
      </c>
      <c r="G123" s="244" t="n">
        <v>138.5</v>
      </c>
      <c r="H123" s="244" t="n">
        <v>46.7</v>
      </c>
      <c r="I123" s="245" t="n">
        <v>697</v>
      </c>
      <c r="J123" s="246" t="n">
        <f aca="false">G123*I123</f>
        <v>96534.5</v>
      </c>
      <c r="K123" s="246" t="n">
        <f aca="false">J123-H123*I123</f>
        <v>63984.6</v>
      </c>
      <c r="L123" s="247" t="n">
        <f aca="false">IF(J123&gt;0,K123/J123,0)</f>
        <v>0.662815884476534</v>
      </c>
    </row>
    <row r="124" customFormat="false" ht="15" hidden="false" customHeight="true" outlineLevel="0" collapsed="false">
      <c r="A124" s="238" t="s">
        <v>408</v>
      </c>
      <c r="B124" s="238" t="s">
        <v>277</v>
      </c>
      <c r="C124" s="238" t="s">
        <v>258</v>
      </c>
      <c r="D124" s="238" t="s">
        <v>399</v>
      </c>
      <c r="E124" s="238" t="s">
        <v>400</v>
      </c>
      <c r="F124" s="238" t="s">
        <v>388</v>
      </c>
      <c r="G124" s="239" t="n">
        <v>143.2</v>
      </c>
      <c r="H124" s="239" t="n">
        <v>48.7</v>
      </c>
      <c r="I124" s="240" t="n">
        <v>3802</v>
      </c>
      <c r="J124" s="241" t="n">
        <f aca="false">G124*I124</f>
        <v>544446.4</v>
      </c>
      <c r="K124" s="241" t="n">
        <f aca="false">J124-H124*I124</f>
        <v>359289</v>
      </c>
      <c r="L124" s="242" t="n">
        <f aca="false">IF(J124&gt;0,K124/J124,0)</f>
        <v>0.659916201117318</v>
      </c>
    </row>
    <row r="125" customFormat="false" ht="15" hidden="false" customHeight="true" outlineLevel="0" collapsed="false">
      <c r="A125" s="243" t="s">
        <v>408</v>
      </c>
      <c r="B125" s="243" t="s">
        <v>277</v>
      </c>
      <c r="C125" s="243" t="s">
        <v>258</v>
      </c>
      <c r="D125" s="243" t="s">
        <v>399</v>
      </c>
      <c r="E125" s="243" t="s">
        <v>402</v>
      </c>
      <c r="F125" s="243" t="s">
        <v>389</v>
      </c>
      <c r="G125" s="244" t="n">
        <v>110.6</v>
      </c>
      <c r="H125" s="244" t="n">
        <v>39.7</v>
      </c>
      <c r="I125" s="245" t="n">
        <v>2769</v>
      </c>
      <c r="J125" s="246" t="n">
        <f aca="false">G125*I125</f>
        <v>306251.4</v>
      </c>
      <c r="K125" s="246" t="n">
        <f aca="false">J125-H125*I125</f>
        <v>196322.1</v>
      </c>
      <c r="L125" s="247" t="n">
        <f aca="false">IF(J125&gt;0,K125/J125,0)</f>
        <v>0.641048824593128</v>
      </c>
    </row>
    <row r="126" customFormat="false" ht="15" hidden="false" customHeight="true" outlineLevel="0" collapsed="false">
      <c r="A126" s="238" t="s">
        <v>408</v>
      </c>
      <c r="B126" s="238" t="s">
        <v>277</v>
      </c>
      <c r="C126" s="238" t="s">
        <v>258</v>
      </c>
      <c r="D126" s="238" t="s">
        <v>399</v>
      </c>
      <c r="E126" s="238" t="s">
        <v>400</v>
      </c>
      <c r="F126" s="238" t="s">
        <v>390</v>
      </c>
      <c r="G126" s="239" t="n">
        <v>137.8</v>
      </c>
      <c r="H126" s="239" t="n">
        <v>47.9</v>
      </c>
      <c r="I126" s="240" t="n">
        <v>4517</v>
      </c>
      <c r="J126" s="241" t="n">
        <f aca="false">G126*I126</f>
        <v>622442.6</v>
      </c>
      <c r="K126" s="241" t="n">
        <f aca="false">J126-H126*I126</f>
        <v>406078.3</v>
      </c>
      <c r="L126" s="242" t="n">
        <f aca="false">IF(J126&gt;0,K126/J126,0)</f>
        <v>0.652394775036285</v>
      </c>
    </row>
    <row r="127" customFormat="false" ht="15" hidden="false" customHeight="true" outlineLevel="0" collapsed="false">
      <c r="A127" s="243" t="s">
        <v>408</v>
      </c>
      <c r="B127" s="243" t="s">
        <v>277</v>
      </c>
      <c r="C127" s="243" t="s">
        <v>258</v>
      </c>
      <c r="D127" s="243" t="s">
        <v>399</v>
      </c>
      <c r="E127" s="243" t="s">
        <v>402</v>
      </c>
      <c r="F127" s="243" t="s">
        <v>391</v>
      </c>
      <c r="G127" s="244" t="n">
        <v>146.7</v>
      </c>
      <c r="H127" s="244" t="n">
        <v>49.5</v>
      </c>
      <c r="I127" s="245" t="n">
        <v>882</v>
      </c>
      <c r="J127" s="246" t="n">
        <f aca="false">G127*I127</f>
        <v>129389.4</v>
      </c>
      <c r="K127" s="246" t="n">
        <f aca="false">J127-H127*I127</f>
        <v>85730.4</v>
      </c>
      <c r="L127" s="247" t="n">
        <f aca="false">IF(J127&gt;0,K127/J127,0)</f>
        <v>0.662576687116564</v>
      </c>
    </row>
    <row r="128" customFormat="false" ht="15" hidden="false" customHeight="true" outlineLevel="0" collapsed="false">
      <c r="A128" s="238" t="s">
        <v>408</v>
      </c>
      <c r="B128" s="238" t="s">
        <v>277</v>
      </c>
      <c r="C128" s="238" t="s">
        <v>258</v>
      </c>
      <c r="D128" s="238" t="s">
        <v>399</v>
      </c>
      <c r="E128" s="238" t="s">
        <v>401</v>
      </c>
      <c r="F128" s="238" t="s">
        <v>392</v>
      </c>
      <c r="G128" s="239" t="n">
        <v>100.6</v>
      </c>
      <c r="H128" s="239" t="n">
        <v>39.6</v>
      </c>
      <c r="I128" s="240" t="n">
        <v>972</v>
      </c>
      <c r="J128" s="241" t="n">
        <f aca="false">G128*I128</f>
        <v>97783.2</v>
      </c>
      <c r="K128" s="241" t="n">
        <f aca="false">J128-H128*I128</f>
        <v>59292</v>
      </c>
      <c r="L128" s="242" t="n">
        <f aca="false">IF(J128&gt;0,K128/J128,0)</f>
        <v>0.606361829025845</v>
      </c>
    </row>
    <row r="129" customFormat="false" ht="15" hidden="false" customHeight="true" outlineLevel="0" collapsed="false">
      <c r="A129" s="243" t="s">
        <v>408</v>
      </c>
      <c r="B129" s="243" t="s">
        <v>277</v>
      </c>
      <c r="C129" s="243" t="s">
        <v>258</v>
      </c>
      <c r="D129" s="243" t="s">
        <v>399</v>
      </c>
      <c r="E129" s="243" t="s">
        <v>400</v>
      </c>
      <c r="F129" s="243" t="s">
        <v>393</v>
      </c>
      <c r="G129" s="244" t="n">
        <v>131.5</v>
      </c>
      <c r="H129" s="244" t="n">
        <v>44.7</v>
      </c>
      <c r="I129" s="245" t="n">
        <v>3318</v>
      </c>
      <c r="J129" s="246" t="n">
        <f aca="false">G129*I129</f>
        <v>436317</v>
      </c>
      <c r="K129" s="246" t="n">
        <f aca="false">J129-H129*I129</f>
        <v>288002.4</v>
      </c>
      <c r="L129" s="247" t="n">
        <f aca="false">IF(J129&gt;0,K129/J129,0)</f>
        <v>0.660076045627376</v>
      </c>
    </row>
    <row r="130" customFormat="false" ht="15" hidden="false" customHeight="true" outlineLevel="0" collapsed="false">
      <c r="A130" s="238" t="s">
        <v>408</v>
      </c>
      <c r="B130" s="238" t="s">
        <v>277</v>
      </c>
      <c r="C130" s="238" t="s">
        <v>258</v>
      </c>
      <c r="D130" s="238" t="s">
        <v>399</v>
      </c>
      <c r="E130" s="238" t="s">
        <v>402</v>
      </c>
      <c r="F130" s="238" t="s">
        <v>394</v>
      </c>
      <c r="G130" s="239" t="n">
        <v>98</v>
      </c>
      <c r="H130" s="239" t="n">
        <v>40.9</v>
      </c>
      <c r="I130" s="240" t="n">
        <v>2556</v>
      </c>
      <c r="J130" s="241" t="n">
        <f aca="false">G130*I130</f>
        <v>250488</v>
      </c>
      <c r="K130" s="241" t="n">
        <f aca="false">J130-H130*I130</f>
        <v>145947.6</v>
      </c>
      <c r="L130" s="242" t="n">
        <f aca="false">IF(J130&gt;0,K130/J130,0)</f>
        <v>0.58265306122449</v>
      </c>
    </row>
    <row r="131" customFormat="false" ht="15" hidden="false" customHeight="true" outlineLevel="0" collapsed="false">
      <c r="A131" s="243" t="s">
        <v>408</v>
      </c>
      <c r="B131" s="243" t="s">
        <v>277</v>
      </c>
      <c r="C131" s="243" t="s">
        <v>258</v>
      </c>
      <c r="D131" s="243" t="s">
        <v>399</v>
      </c>
      <c r="E131" s="243" t="s">
        <v>400</v>
      </c>
      <c r="F131" s="243" t="s">
        <v>395</v>
      </c>
      <c r="G131" s="244" t="n">
        <v>129.5</v>
      </c>
      <c r="H131" s="244" t="n">
        <v>47</v>
      </c>
      <c r="I131" s="245" t="n">
        <v>2908</v>
      </c>
      <c r="J131" s="246" t="n">
        <f aca="false">G131*I131</f>
        <v>376586</v>
      </c>
      <c r="K131" s="246" t="n">
        <f aca="false">J131-H131*I131</f>
        <v>239910</v>
      </c>
      <c r="L131" s="247" t="n">
        <f aca="false">IF(J131&gt;0,K131/J131,0)</f>
        <v>0.637065637065637</v>
      </c>
    </row>
    <row r="132" customFormat="false" ht="15" hidden="false" customHeight="true" outlineLevel="0" collapsed="false">
      <c r="A132" s="238" t="s">
        <v>408</v>
      </c>
      <c r="B132" s="238" t="s">
        <v>277</v>
      </c>
      <c r="C132" s="238" t="s">
        <v>258</v>
      </c>
      <c r="D132" s="238" t="s">
        <v>399</v>
      </c>
      <c r="E132" s="238" t="s">
        <v>402</v>
      </c>
      <c r="F132" s="238" t="s">
        <v>397</v>
      </c>
      <c r="G132" s="239" t="n">
        <v>138.2</v>
      </c>
      <c r="H132" s="239" t="n">
        <v>44.3</v>
      </c>
      <c r="I132" s="240" t="n">
        <v>2632</v>
      </c>
      <c r="J132" s="241" t="n">
        <f aca="false">G132*I132</f>
        <v>363742.4</v>
      </c>
      <c r="K132" s="241" t="n">
        <f aca="false">J132-H132*I132</f>
        <v>247144.8</v>
      </c>
      <c r="L132" s="242" t="n">
        <f aca="false">IF(J132&gt;0,K132/J132,0)</f>
        <v>0.6794500723589</v>
      </c>
    </row>
    <row r="133" customFormat="false" ht="15" hidden="false" customHeight="true" outlineLevel="0" collapsed="false">
      <c r="A133" s="243" t="s">
        <v>408</v>
      </c>
      <c r="B133" s="243" t="s">
        <v>277</v>
      </c>
      <c r="C133" s="243" t="s">
        <v>258</v>
      </c>
      <c r="D133" s="243" t="s">
        <v>399</v>
      </c>
      <c r="E133" s="243" t="s">
        <v>402</v>
      </c>
      <c r="F133" s="243" t="s">
        <v>398</v>
      </c>
      <c r="G133" s="244" t="n">
        <v>113.4</v>
      </c>
      <c r="H133" s="244" t="n">
        <v>48.2</v>
      </c>
      <c r="I133" s="245" t="n">
        <v>3903</v>
      </c>
      <c r="J133" s="246" t="n">
        <f aca="false">G133*I133</f>
        <v>442600.2</v>
      </c>
      <c r="K133" s="246" t="n">
        <f aca="false">J133-H133*I133</f>
        <v>254475.6</v>
      </c>
      <c r="L133" s="247" t="n">
        <f aca="false">IF(J133&gt;0,K133/J133,0)</f>
        <v>0.574955908289242</v>
      </c>
    </row>
    <row r="134" customFormat="false" ht="15" hidden="false" customHeight="true" outlineLevel="0" collapsed="false">
      <c r="A134" s="238" t="s">
        <v>408</v>
      </c>
      <c r="B134" s="238" t="s">
        <v>277</v>
      </c>
      <c r="C134" s="238" t="s">
        <v>258</v>
      </c>
      <c r="D134" s="238" t="s">
        <v>403</v>
      </c>
      <c r="E134" s="238" t="s">
        <v>404</v>
      </c>
      <c r="F134" s="238" t="s">
        <v>385</v>
      </c>
      <c r="G134" s="239" t="n">
        <v>162.4</v>
      </c>
      <c r="H134" s="239" t="n">
        <v>46.9</v>
      </c>
      <c r="I134" s="240" t="n">
        <v>1769</v>
      </c>
      <c r="J134" s="241" t="n">
        <f aca="false">G134*I134</f>
        <v>287285.6</v>
      </c>
      <c r="K134" s="241" t="n">
        <f aca="false">J134-H134*I134</f>
        <v>204319.5</v>
      </c>
      <c r="L134" s="242" t="n">
        <f aca="false">IF(J134&gt;0,K134/J134,0)</f>
        <v>0.711206896551724</v>
      </c>
    </row>
    <row r="135" customFormat="false" ht="15" hidden="false" customHeight="true" outlineLevel="0" collapsed="false">
      <c r="A135" s="243" t="s">
        <v>408</v>
      </c>
      <c r="B135" s="243" t="s">
        <v>277</v>
      </c>
      <c r="C135" s="243" t="s">
        <v>258</v>
      </c>
      <c r="D135" s="243" t="s">
        <v>403</v>
      </c>
      <c r="E135" s="243" t="s">
        <v>406</v>
      </c>
      <c r="F135" s="243" t="s">
        <v>387</v>
      </c>
      <c r="G135" s="244" t="n">
        <v>130.9</v>
      </c>
      <c r="H135" s="244" t="n">
        <v>38.9</v>
      </c>
      <c r="I135" s="245" t="n">
        <v>1165</v>
      </c>
      <c r="J135" s="246" t="n">
        <f aca="false">G135*I135</f>
        <v>152498.5</v>
      </c>
      <c r="K135" s="246" t="n">
        <f aca="false">J135-H135*I135</f>
        <v>107180</v>
      </c>
      <c r="L135" s="247" t="n">
        <f aca="false">IF(J135&gt;0,K135/J135,0)</f>
        <v>0.702826585179526</v>
      </c>
    </row>
    <row r="136" customFormat="false" ht="15" hidden="false" customHeight="true" outlineLevel="0" collapsed="false">
      <c r="A136" s="238" t="s">
        <v>408</v>
      </c>
      <c r="B136" s="238" t="s">
        <v>277</v>
      </c>
      <c r="C136" s="238" t="s">
        <v>258</v>
      </c>
      <c r="D136" s="238" t="s">
        <v>403</v>
      </c>
      <c r="E136" s="238" t="s">
        <v>406</v>
      </c>
      <c r="F136" s="238" t="s">
        <v>388</v>
      </c>
      <c r="G136" s="239" t="n">
        <v>134.6</v>
      </c>
      <c r="H136" s="239" t="n">
        <v>45.4</v>
      </c>
      <c r="I136" s="240" t="n">
        <v>551</v>
      </c>
      <c r="J136" s="241" t="n">
        <f aca="false">G136*I136</f>
        <v>74164.6</v>
      </c>
      <c r="K136" s="241" t="n">
        <f aca="false">J136-H136*I136</f>
        <v>49149.2</v>
      </c>
      <c r="L136" s="242" t="n">
        <f aca="false">IF(J136&gt;0,K136/J136,0)</f>
        <v>0.662704309063893</v>
      </c>
    </row>
    <row r="137" customFormat="false" ht="15" hidden="false" customHeight="true" outlineLevel="0" collapsed="false">
      <c r="A137" s="243" t="s">
        <v>408</v>
      </c>
      <c r="B137" s="243" t="s">
        <v>277</v>
      </c>
      <c r="C137" s="243" t="s">
        <v>258</v>
      </c>
      <c r="D137" s="243" t="s">
        <v>403</v>
      </c>
      <c r="E137" s="243" t="s">
        <v>405</v>
      </c>
      <c r="F137" s="243" t="s">
        <v>389</v>
      </c>
      <c r="G137" s="244" t="n">
        <v>125</v>
      </c>
      <c r="H137" s="244" t="n">
        <v>42</v>
      </c>
      <c r="I137" s="245" t="n">
        <v>2351</v>
      </c>
      <c r="J137" s="246" t="n">
        <f aca="false">G137*I137</f>
        <v>293875</v>
      </c>
      <c r="K137" s="246" t="n">
        <f aca="false">J137-H137*I137</f>
        <v>195133</v>
      </c>
      <c r="L137" s="247" t="n">
        <f aca="false">IF(J137&gt;0,K137/J137,0)</f>
        <v>0.664</v>
      </c>
    </row>
    <row r="138" customFormat="false" ht="15" hidden="false" customHeight="true" outlineLevel="0" collapsed="false">
      <c r="A138" s="238" t="s">
        <v>408</v>
      </c>
      <c r="B138" s="238" t="s">
        <v>277</v>
      </c>
      <c r="C138" s="238" t="s">
        <v>258</v>
      </c>
      <c r="D138" s="238" t="s">
        <v>403</v>
      </c>
      <c r="E138" s="238" t="s">
        <v>404</v>
      </c>
      <c r="F138" s="238" t="s">
        <v>390</v>
      </c>
      <c r="G138" s="239" t="n">
        <v>90.4</v>
      </c>
      <c r="H138" s="239" t="n">
        <v>44.8</v>
      </c>
      <c r="I138" s="240" t="n">
        <v>502</v>
      </c>
      <c r="J138" s="241" t="n">
        <f aca="false">G138*I138</f>
        <v>45380.8</v>
      </c>
      <c r="K138" s="241" t="n">
        <f aca="false">J138-H138*I138</f>
        <v>22891.2</v>
      </c>
      <c r="L138" s="242" t="n">
        <f aca="false">IF(J138&gt;0,K138/J138,0)</f>
        <v>0.504424778761062</v>
      </c>
    </row>
    <row r="139" customFormat="false" ht="15" hidden="false" customHeight="true" outlineLevel="0" collapsed="false">
      <c r="A139" s="243" t="s">
        <v>408</v>
      </c>
      <c r="B139" s="243" t="s">
        <v>277</v>
      </c>
      <c r="C139" s="243" t="s">
        <v>258</v>
      </c>
      <c r="D139" s="243" t="s">
        <v>403</v>
      </c>
      <c r="E139" s="243" t="s">
        <v>404</v>
      </c>
      <c r="F139" s="243" t="s">
        <v>391</v>
      </c>
      <c r="G139" s="244" t="n">
        <v>106.8</v>
      </c>
      <c r="H139" s="244" t="n">
        <v>49.7</v>
      </c>
      <c r="I139" s="245" t="n">
        <v>961</v>
      </c>
      <c r="J139" s="246" t="n">
        <f aca="false">G139*I139</f>
        <v>102634.8</v>
      </c>
      <c r="K139" s="246" t="n">
        <f aca="false">J139-H139*I139</f>
        <v>54873.1</v>
      </c>
      <c r="L139" s="247" t="n">
        <f aca="false">IF(J139&gt;0,K139/J139,0)</f>
        <v>0.534644194756554</v>
      </c>
    </row>
    <row r="140" customFormat="false" ht="15" hidden="false" customHeight="true" outlineLevel="0" collapsed="false">
      <c r="A140" s="238" t="s">
        <v>408</v>
      </c>
      <c r="B140" s="238" t="s">
        <v>277</v>
      </c>
      <c r="C140" s="238" t="s">
        <v>258</v>
      </c>
      <c r="D140" s="238" t="s">
        <v>403</v>
      </c>
      <c r="E140" s="238" t="s">
        <v>404</v>
      </c>
      <c r="F140" s="238" t="s">
        <v>392</v>
      </c>
      <c r="G140" s="239" t="n">
        <v>115.2</v>
      </c>
      <c r="H140" s="239" t="n">
        <v>41.5</v>
      </c>
      <c r="I140" s="240" t="n">
        <v>1684</v>
      </c>
      <c r="J140" s="241" t="n">
        <f aca="false">G140*I140</f>
        <v>193996.8</v>
      </c>
      <c r="K140" s="241" t="n">
        <f aca="false">J140-H140*I140</f>
        <v>124110.8</v>
      </c>
      <c r="L140" s="242" t="n">
        <f aca="false">IF(J140&gt;0,K140/J140,0)</f>
        <v>0.639756944444445</v>
      </c>
    </row>
    <row r="141" customFormat="false" ht="15" hidden="false" customHeight="true" outlineLevel="0" collapsed="false">
      <c r="A141" s="243" t="s">
        <v>408</v>
      </c>
      <c r="B141" s="243" t="s">
        <v>277</v>
      </c>
      <c r="C141" s="243" t="s">
        <v>258</v>
      </c>
      <c r="D141" s="243" t="s">
        <v>403</v>
      </c>
      <c r="E141" s="243" t="s">
        <v>404</v>
      </c>
      <c r="F141" s="243" t="s">
        <v>393</v>
      </c>
      <c r="G141" s="244" t="n">
        <v>164.7</v>
      </c>
      <c r="H141" s="244" t="n">
        <v>47.2</v>
      </c>
      <c r="I141" s="245" t="n">
        <v>1931</v>
      </c>
      <c r="J141" s="246" t="n">
        <f aca="false">G141*I141</f>
        <v>318035.7</v>
      </c>
      <c r="K141" s="246" t="n">
        <f aca="false">J141-H141*I141</f>
        <v>226892.5</v>
      </c>
      <c r="L141" s="247" t="n">
        <f aca="false">IF(J141&gt;0,K141/J141,0)</f>
        <v>0.713418336369156</v>
      </c>
    </row>
    <row r="142" customFormat="false" ht="15" hidden="false" customHeight="true" outlineLevel="0" collapsed="false">
      <c r="A142" s="238" t="s">
        <v>408</v>
      </c>
      <c r="B142" s="238" t="s">
        <v>277</v>
      </c>
      <c r="C142" s="238" t="s">
        <v>258</v>
      </c>
      <c r="D142" s="238" t="s">
        <v>403</v>
      </c>
      <c r="E142" s="238" t="s">
        <v>404</v>
      </c>
      <c r="F142" s="238" t="s">
        <v>394</v>
      </c>
      <c r="G142" s="239" t="n">
        <v>169.2</v>
      </c>
      <c r="H142" s="239" t="n">
        <v>49.7</v>
      </c>
      <c r="I142" s="240" t="n">
        <v>376</v>
      </c>
      <c r="J142" s="241" t="n">
        <f aca="false">G142*I142</f>
        <v>63619.2</v>
      </c>
      <c r="K142" s="241" t="n">
        <f aca="false">J142-H142*I142</f>
        <v>44932</v>
      </c>
      <c r="L142" s="242" t="n">
        <f aca="false">IF(J142&gt;0,K142/J142,0)</f>
        <v>0.706264775413712</v>
      </c>
    </row>
    <row r="143" customFormat="false" ht="15" hidden="false" customHeight="true" outlineLevel="0" collapsed="false">
      <c r="A143" s="243" t="s">
        <v>408</v>
      </c>
      <c r="B143" s="243" t="s">
        <v>277</v>
      </c>
      <c r="C143" s="243" t="s">
        <v>258</v>
      </c>
      <c r="D143" s="243" t="s">
        <v>403</v>
      </c>
      <c r="E143" s="243" t="s">
        <v>404</v>
      </c>
      <c r="F143" s="243" t="s">
        <v>395</v>
      </c>
      <c r="G143" s="244" t="n">
        <v>107.4</v>
      </c>
      <c r="H143" s="244" t="n">
        <v>38.9</v>
      </c>
      <c r="I143" s="245" t="n">
        <v>3234</v>
      </c>
      <c r="J143" s="246" t="n">
        <f aca="false">G143*I143</f>
        <v>347331.6</v>
      </c>
      <c r="K143" s="246" t="n">
        <f aca="false">J143-H143*I143</f>
        <v>221529</v>
      </c>
      <c r="L143" s="247" t="n">
        <f aca="false">IF(J143&gt;0,K143/J143,0)</f>
        <v>0.63780260707635</v>
      </c>
    </row>
    <row r="144" customFormat="false" ht="15" hidden="false" customHeight="true" outlineLevel="0" collapsed="false">
      <c r="A144" s="238" t="s">
        <v>408</v>
      </c>
      <c r="B144" s="238" t="s">
        <v>277</v>
      </c>
      <c r="C144" s="238" t="s">
        <v>258</v>
      </c>
      <c r="D144" s="238" t="s">
        <v>403</v>
      </c>
      <c r="E144" s="238" t="s">
        <v>406</v>
      </c>
      <c r="F144" s="238" t="s">
        <v>397</v>
      </c>
      <c r="G144" s="239" t="n">
        <v>143.8</v>
      </c>
      <c r="H144" s="239" t="n">
        <v>42.6</v>
      </c>
      <c r="I144" s="240" t="n">
        <v>3046</v>
      </c>
      <c r="J144" s="241" t="n">
        <f aca="false">G144*I144</f>
        <v>438014.8</v>
      </c>
      <c r="K144" s="241" t="n">
        <f aca="false">J144-H144*I144</f>
        <v>308255.2</v>
      </c>
      <c r="L144" s="242" t="n">
        <f aca="false">IF(J144&gt;0,K144/J144,0)</f>
        <v>0.703755215577191</v>
      </c>
    </row>
    <row r="145" customFormat="false" ht="15" hidden="false" customHeight="true" outlineLevel="0" collapsed="false">
      <c r="A145" s="243" t="s">
        <v>408</v>
      </c>
      <c r="B145" s="243" t="s">
        <v>277</v>
      </c>
      <c r="C145" s="243" t="s">
        <v>258</v>
      </c>
      <c r="D145" s="243" t="s">
        <v>403</v>
      </c>
      <c r="E145" s="243" t="s">
        <v>404</v>
      </c>
      <c r="F145" s="243" t="s">
        <v>398</v>
      </c>
      <c r="G145" s="244" t="n">
        <v>99.6</v>
      </c>
      <c r="H145" s="244" t="n">
        <v>45</v>
      </c>
      <c r="I145" s="245" t="n">
        <v>1857</v>
      </c>
      <c r="J145" s="246" t="n">
        <f aca="false">G145*I145</f>
        <v>184957.2</v>
      </c>
      <c r="K145" s="246" t="n">
        <f aca="false">J145-H145*I145</f>
        <v>101392.2</v>
      </c>
      <c r="L145" s="247" t="n">
        <f aca="false">IF(J145&gt;0,K145/J145,0)</f>
        <v>0.548192771084337</v>
      </c>
    </row>
    <row r="146" customFormat="false" ht="15" hidden="false" customHeight="true" outlineLevel="0" collapsed="false">
      <c r="A146" s="238" t="s">
        <v>409</v>
      </c>
      <c r="B146" s="238" t="s">
        <v>283</v>
      </c>
      <c r="C146" s="238" t="s">
        <v>258</v>
      </c>
      <c r="D146" s="238" t="s">
        <v>383</v>
      </c>
      <c r="E146" s="238" t="s">
        <v>384</v>
      </c>
      <c r="F146" s="238" t="s">
        <v>385</v>
      </c>
      <c r="G146" s="239" t="n">
        <v>95.6</v>
      </c>
      <c r="H146" s="239" t="n">
        <v>29.6</v>
      </c>
      <c r="I146" s="240" t="n">
        <v>4462</v>
      </c>
      <c r="J146" s="241" t="n">
        <f aca="false">G146*I146</f>
        <v>426567.2</v>
      </c>
      <c r="K146" s="241" t="n">
        <f aca="false">J146-H146*I146</f>
        <v>294492</v>
      </c>
      <c r="L146" s="242" t="n">
        <f aca="false">IF(J146&gt;0,K146/J146,0)</f>
        <v>0.690376569037657</v>
      </c>
    </row>
    <row r="147" customFormat="false" ht="15" hidden="false" customHeight="true" outlineLevel="0" collapsed="false">
      <c r="A147" s="243" t="s">
        <v>409</v>
      </c>
      <c r="B147" s="243" t="s">
        <v>283</v>
      </c>
      <c r="C147" s="243" t="s">
        <v>258</v>
      </c>
      <c r="D147" s="243" t="s">
        <v>383</v>
      </c>
      <c r="E147" s="243" t="s">
        <v>396</v>
      </c>
      <c r="F147" s="243" t="s">
        <v>387</v>
      </c>
      <c r="G147" s="244" t="n">
        <v>85.4</v>
      </c>
      <c r="H147" s="244" t="n">
        <v>36.4</v>
      </c>
      <c r="I147" s="245" t="n">
        <v>7263</v>
      </c>
      <c r="J147" s="246" t="n">
        <f aca="false">G147*I147</f>
        <v>620260.2</v>
      </c>
      <c r="K147" s="246" t="n">
        <f aca="false">J147-H147*I147</f>
        <v>355887</v>
      </c>
      <c r="L147" s="247" t="n">
        <f aca="false">IF(J147&gt;0,K147/J147,0)</f>
        <v>0.573770491803279</v>
      </c>
    </row>
    <row r="148" customFormat="false" ht="15" hidden="false" customHeight="true" outlineLevel="0" collapsed="false">
      <c r="A148" s="238" t="s">
        <v>409</v>
      </c>
      <c r="B148" s="238" t="s">
        <v>283</v>
      </c>
      <c r="C148" s="238" t="s">
        <v>258</v>
      </c>
      <c r="D148" s="238" t="s">
        <v>383</v>
      </c>
      <c r="E148" s="238" t="s">
        <v>386</v>
      </c>
      <c r="F148" s="238" t="s">
        <v>388</v>
      </c>
      <c r="G148" s="239" t="n">
        <v>73.2</v>
      </c>
      <c r="H148" s="239" t="n">
        <v>32.7</v>
      </c>
      <c r="I148" s="240" t="n">
        <v>7639</v>
      </c>
      <c r="J148" s="241" t="n">
        <f aca="false">G148*I148</f>
        <v>559174.8</v>
      </c>
      <c r="K148" s="241" t="n">
        <f aca="false">J148-H148*I148</f>
        <v>309379.5</v>
      </c>
      <c r="L148" s="242" t="n">
        <f aca="false">IF(J148&gt;0,K148/J148,0)</f>
        <v>0.55327868852459</v>
      </c>
    </row>
    <row r="149" customFormat="false" ht="15" hidden="false" customHeight="true" outlineLevel="0" collapsed="false">
      <c r="A149" s="243" t="s">
        <v>409</v>
      </c>
      <c r="B149" s="243" t="s">
        <v>283</v>
      </c>
      <c r="C149" s="243" t="s">
        <v>258</v>
      </c>
      <c r="D149" s="243" t="s">
        <v>383</v>
      </c>
      <c r="E149" s="243" t="s">
        <v>396</v>
      </c>
      <c r="F149" s="243" t="s">
        <v>389</v>
      </c>
      <c r="G149" s="244" t="n">
        <v>81.9</v>
      </c>
      <c r="H149" s="244" t="n">
        <v>33.4</v>
      </c>
      <c r="I149" s="245" t="n">
        <v>1813</v>
      </c>
      <c r="J149" s="246" t="n">
        <f aca="false">G149*I149</f>
        <v>148484.7</v>
      </c>
      <c r="K149" s="246" t="n">
        <f aca="false">J149-H149*I149</f>
        <v>87930.5</v>
      </c>
      <c r="L149" s="247" t="n">
        <f aca="false">IF(J149&gt;0,K149/J149,0)</f>
        <v>0.592185592185592</v>
      </c>
    </row>
    <row r="150" customFormat="false" ht="15" hidden="false" customHeight="true" outlineLevel="0" collapsed="false">
      <c r="A150" s="238" t="s">
        <v>409</v>
      </c>
      <c r="B150" s="238" t="s">
        <v>283</v>
      </c>
      <c r="C150" s="238" t="s">
        <v>258</v>
      </c>
      <c r="D150" s="238" t="s">
        <v>383</v>
      </c>
      <c r="E150" s="238" t="s">
        <v>396</v>
      </c>
      <c r="F150" s="238" t="s">
        <v>390</v>
      </c>
      <c r="G150" s="239" t="n">
        <v>70.9</v>
      </c>
      <c r="H150" s="239" t="n">
        <v>32.5</v>
      </c>
      <c r="I150" s="240" t="n">
        <v>3185</v>
      </c>
      <c r="J150" s="241" t="n">
        <f aca="false">G150*I150</f>
        <v>225816.5</v>
      </c>
      <c r="K150" s="241" t="n">
        <f aca="false">J150-H150*I150</f>
        <v>122304</v>
      </c>
      <c r="L150" s="242" t="n">
        <f aca="false">IF(J150&gt;0,K150/J150,0)</f>
        <v>0.541607898448519</v>
      </c>
    </row>
    <row r="151" customFormat="false" ht="15" hidden="false" customHeight="true" outlineLevel="0" collapsed="false">
      <c r="A151" s="243" t="s">
        <v>409</v>
      </c>
      <c r="B151" s="243" t="s">
        <v>283</v>
      </c>
      <c r="C151" s="243" t="s">
        <v>258</v>
      </c>
      <c r="D151" s="243" t="s">
        <v>383</v>
      </c>
      <c r="E151" s="243" t="s">
        <v>384</v>
      </c>
      <c r="F151" s="243" t="s">
        <v>391</v>
      </c>
      <c r="G151" s="244" t="n">
        <v>120.6</v>
      </c>
      <c r="H151" s="244" t="n">
        <v>37</v>
      </c>
      <c r="I151" s="245" t="n">
        <v>1664</v>
      </c>
      <c r="J151" s="246" t="n">
        <f aca="false">G151*I151</f>
        <v>200678.4</v>
      </c>
      <c r="K151" s="246" t="n">
        <f aca="false">J151-H151*I151</f>
        <v>139110.4</v>
      </c>
      <c r="L151" s="247" t="n">
        <f aca="false">IF(J151&gt;0,K151/J151,0)</f>
        <v>0.693200663349917</v>
      </c>
    </row>
    <row r="152" customFormat="false" ht="15" hidden="false" customHeight="true" outlineLevel="0" collapsed="false">
      <c r="A152" s="238" t="s">
        <v>409</v>
      </c>
      <c r="B152" s="238" t="s">
        <v>283</v>
      </c>
      <c r="C152" s="238" t="s">
        <v>258</v>
      </c>
      <c r="D152" s="238" t="s">
        <v>383</v>
      </c>
      <c r="E152" s="238" t="s">
        <v>396</v>
      </c>
      <c r="F152" s="238" t="s">
        <v>392</v>
      </c>
      <c r="G152" s="239" t="n">
        <v>122.7</v>
      </c>
      <c r="H152" s="239" t="n">
        <v>36.6</v>
      </c>
      <c r="I152" s="240" t="n">
        <v>2886</v>
      </c>
      <c r="J152" s="241" t="n">
        <f aca="false">G152*I152</f>
        <v>354112.2</v>
      </c>
      <c r="K152" s="241" t="n">
        <f aca="false">J152-H152*I152</f>
        <v>248484.6</v>
      </c>
      <c r="L152" s="242" t="n">
        <f aca="false">IF(J152&gt;0,K152/J152,0)</f>
        <v>0.701711491442543</v>
      </c>
    </row>
    <row r="153" customFormat="false" ht="15" hidden="false" customHeight="true" outlineLevel="0" collapsed="false">
      <c r="A153" s="243" t="s">
        <v>409</v>
      </c>
      <c r="B153" s="243" t="s">
        <v>283</v>
      </c>
      <c r="C153" s="243" t="s">
        <v>258</v>
      </c>
      <c r="D153" s="243" t="s">
        <v>383</v>
      </c>
      <c r="E153" s="243" t="s">
        <v>384</v>
      </c>
      <c r="F153" s="243" t="s">
        <v>393</v>
      </c>
      <c r="G153" s="244" t="n">
        <v>74.5</v>
      </c>
      <c r="H153" s="244" t="n">
        <v>28.8</v>
      </c>
      <c r="I153" s="245" t="n">
        <v>7063</v>
      </c>
      <c r="J153" s="246" t="n">
        <f aca="false">G153*I153</f>
        <v>526193.5</v>
      </c>
      <c r="K153" s="246" t="n">
        <f aca="false">J153-H153*I153</f>
        <v>322779.1</v>
      </c>
      <c r="L153" s="247" t="n">
        <f aca="false">IF(J153&gt;0,K153/J153,0)</f>
        <v>0.613422818791946</v>
      </c>
    </row>
    <row r="154" customFormat="false" ht="15" hidden="false" customHeight="true" outlineLevel="0" collapsed="false">
      <c r="A154" s="238" t="s">
        <v>409</v>
      </c>
      <c r="B154" s="238" t="s">
        <v>283</v>
      </c>
      <c r="C154" s="238" t="s">
        <v>258</v>
      </c>
      <c r="D154" s="238" t="s">
        <v>383</v>
      </c>
      <c r="E154" s="238" t="s">
        <v>384</v>
      </c>
      <c r="F154" s="238" t="s">
        <v>394</v>
      </c>
      <c r="G154" s="239" t="n">
        <v>85.3</v>
      </c>
      <c r="H154" s="239" t="n">
        <v>32.3</v>
      </c>
      <c r="I154" s="240" t="n">
        <v>2781</v>
      </c>
      <c r="J154" s="241" t="n">
        <f aca="false">G154*I154</f>
        <v>237219.3</v>
      </c>
      <c r="K154" s="241" t="n">
        <f aca="false">J154-H154*I154</f>
        <v>147393</v>
      </c>
      <c r="L154" s="242" t="n">
        <f aca="false">IF(J154&gt;0,K154/J154,0)</f>
        <v>0.621336459554514</v>
      </c>
    </row>
    <row r="155" customFormat="false" ht="15" hidden="false" customHeight="true" outlineLevel="0" collapsed="false">
      <c r="A155" s="243" t="s">
        <v>409</v>
      </c>
      <c r="B155" s="243" t="s">
        <v>283</v>
      </c>
      <c r="C155" s="243" t="s">
        <v>258</v>
      </c>
      <c r="D155" s="243" t="s">
        <v>383</v>
      </c>
      <c r="E155" s="243" t="s">
        <v>386</v>
      </c>
      <c r="F155" s="243" t="s">
        <v>395</v>
      </c>
      <c r="G155" s="244" t="n">
        <v>65.2</v>
      </c>
      <c r="H155" s="244" t="n">
        <v>31.4</v>
      </c>
      <c r="I155" s="245" t="n">
        <v>5566</v>
      </c>
      <c r="J155" s="246" t="n">
        <f aca="false">G155*I155</f>
        <v>362903.2</v>
      </c>
      <c r="K155" s="246" t="n">
        <f aca="false">J155-H155*I155</f>
        <v>188130.8</v>
      </c>
      <c r="L155" s="247" t="n">
        <f aca="false">IF(J155&gt;0,K155/J155,0)</f>
        <v>0.51840490797546</v>
      </c>
    </row>
    <row r="156" customFormat="false" ht="15" hidden="false" customHeight="true" outlineLevel="0" collapsed="false">
      <c r="A156" s="238" t="s">
        <v>409</v>
      </c>
      <c r="B156" s="238" t="s">
        <v>283</v>
      </c>
      <c r="C156" s="238" t="s">
        <v>258</v>
      </c>
      <c r="D156" s="238" t="s">
        <v>383</v>
      </c>
      <c r="E156" s="238" t="s">
        <v>386</v>
      </c>
      <c r="F156" s="238" t="s">
        <v>397</v>
      </c>
      <c r="G156" s="239" t="n">
        <v>93.1</v>
      </c>
      <c r="H156" s="239" t="n">
        <v>39.2</v>
      </c>
      <c r="I156" s="240" t="n">
        <v>2713</v>
      </c>
      <c r="J156" s="241" t="n">
        <f aca="false">G156*I156</f>
        <v>252580.3</v>
      </c>
      <c r="K156" s="241" t="n">
        <f aca="false">J156-H156*I156</f>
        <v>146230.7</v>
      </c>
      <c r="L156" s="242" t="n">
        <f aca="false">IF(J156&gt;0,K156/J156,0)</f>
        <v>0.578947368421053</v>
      </c>
    </row>
    <row r="157" customFormat="false" ht="15" hidden="false" customHeight="true" outlineLevel="0" collapsed="false">
      <c r="A157" s="243" t="s">
        <v>409</v>
      </c>
      <c r="B157" s="243" t="s">
        <v>283</v>
      </c>
      <c r="C157" s="243" t="s">
        <v>258</v>
      </c>
      <c r="D157" s="243" t="s">
        <v>383</v>
      </c>
      <c r="E157" s="243" t="s">
        <v>396</v>
      </c>
      <c r="F157" s="243" t="s">
        <v>398</v>
      </c>
      <c r="G157" s="244" t="n">
        <v>100.5</v>
      </c>
      <c r="H157" s="244" t="n">
        <v>31.8</v>
      </c>
      <c r="I157" s="245" t="n">
        <v>6453</v>
      </c>
      <c r="J157" s="246" t="n">
        <f aca="false">G157*I157</f>
        <v>648526.5</v>
      </c>
      <c r="K157" s="246" t="n">
        <f aca="false">J157-H157*I157</f>
        <v>443321.1</v>
      </c>
      <c r="L157" s="247" t="n">
        <f aca="false">IF(J157&gt;0,K157/J157,0)</f>
        <v>0.683582089552239</v>
      </c>
    </row>
    <row r="158" customFormat="false" ht="15" hidden="false" customHeight="true" outlineLevel="0" collapsed="false">
      <c r="A158" s="238" t="s">
        <v>409</v>
      </c>
      <c r="B158" s="238" t="s">
        <v>283</v>
      </c>
      <c r="C158" s="238" t="s">
        <v>258</v>
      </c>
      <c r="D158" s="238" t="s">
        <v>399</v>
      </c>
      <c r="E158" s="238" t="s">
        <v>400</v>
      </c>
      <c r="F158" s="238" t="s">
        <v>385</v>
      </c>
      <c r="G158" s="239" t="n">
        <v>124.2</v>
      </c>
      <c r="H158" s="239" t="n">
        <v>38.6</v>
      </c>
      <c r="I158" s="240" t="n">
        <v>3339</v>
      </c>
      <c r="J158" s="241" t="n">
        <f aca="false">G158*I158</f>
        <v>414703.8</v>
      </c>
      <c r="K158" s="241" t="n">
        <f aca="false">J158-H158*I158</f>
        <v>285818.4</v>
      </c>
      <c r="L158" s="242" t="n">
        <f aca="false">IF(J158&gt;0,K158/J158,0)</f>
        <v>0.689210950080515</v>
      </c>
    </row>
    <row r="159" customFormat="false" ht="15" hidden="false" customHeight="true" outlineLevel="0" collapsed="false">
      <c r="A159" s="243" t="s">
        <v>409</v>
      </c>
      <c r="B159" s="243" t="s">
        <v>283</v>
      </c>
      <c r="C159" s="243" t="s">
        <v>258</v>
      </c>
      <c r="D159" s="243" t="s">
        <v>399</v>
      </c>
      <c r="E159" s="243" t="s">
        <v>400</v>
      </c>
      <c r="F159" s="243" t="s">
        <v>387</v>
      </c>
      <c r="G159" s="244" t="n">
        <v>106.5</v>
      </c>
      <c r="H159" s="244" t="n">
        <v>34.6</v>
      </c>
      <c r="I159" s="245" t="n">
        <v>722</v>
      </c>
      <c r="J159" s="246" t="n">
        <f aca="false">G159*I159</f>
        <v>76893</v>
      </c>
      <c r="K159" s="246" t="n">
        <f aca="false">J159-H159*I159</f>
        <v>51911.8</v>
      </c>
      <c r="L159" s="247" t="n">
        <f aca="false">IF(J159&gt;0,K159/J159,0)</f>
        <v>0.675117370892019</v>
      </c>
    </row>
    <row r="160" customFormat="false" ht="15" hidden="false" customHeight="true" outlineLevel="0" collapsed="false">
      <c r="A160" s="238" t="s">
        <v>409</v>
      </c>
      <c r="B160" s="238" t="s">
        <v>283</v>
      </c>
      <c r="C160" s="238" t="s">
        <v>258</v>
      </c>
      <c r="D160" s="238" t="s">
        <v>399</v>
      </c>
      <c r="E160" s="238" t="s">
        <v>401</v>
      </c>
      <c r="F160" s="238" t="s">
        <v>388</v>
      </c>
      <c r="G160" s="239" t="n">
        <v>96.1</v>
      </c>
      <c r="H160" s="239" t="n">
        <v>32.9</v>
      </c>
      <c r="I160" s="240" t="n">
        <v>1123</v>
      </c>
      <c r="J160" s="241" t="n">
        <f aca="false">G160*I160</f>
        <v>107920.3</v>
      </c>
      <c r="K160" s="241" t="n">
        <f aca="false">J160-H160*I160</f>
        <v>70973.6</v>
      </c>
      <c r="L160" s="242" t="n">
        <f aca="false">IF(J160&gt;0,K160/J160,0)</f>
        <v>0.657648283038502</v>
      </c>
    </row>
    <row r="161" customFormat="false" ht="15" hidden="false" customHeight="true" outlineLevel="0" collapsed="false">
      <c r="A161" s="243" t="s">
        <v>409</v>
      </c>
      <c r="B161" s="243" t="s">
        <v>283</v>
      </c>
      <c r="C161" s="243" t="s">
        <v>258</v>
      </c>
      <c r="D161" s="243" t="s">
        <v>399</v>
      </c>
      <c r="E161" s="243" t="s">
        <v>402</v>
      </c>
      <c r="F161" s="243" t="s">
        <v>389</v>
      </c>
      <c r="G161" s="244" t="n">
        <v>113.8</v>
      </c>
      <c r="H161" s="244" t="n">
        <v>33.8</v>
      </c>
      <c r="I161" s="245" t="n">
        <v>2975</v>
      </c>
      <c r="J161" s="246" t="n">
        <f aca="false">G161*I161</f>
        <v>338555</v>
      </c>
      <c r="K161" s="246" t="n">
        <f aca="false">J161-H161*I161</f>
        <v>238000</v>
      </c>
      <c r="L161" s="247" t="n">
        <f aca="false">IF(J161&gt;0,K161/J161,0)</f>
        <v>0.70298769771529</v>
      </c>
    </row>
    <row r="162" customFormat="false" ht="15" hidden="false" customHeight="true" outlineLevel="0" collapsed="false">
      <c r="A162" s="238" t="s">
        <v>409</v>
      </c>
      <c r="B162" s="238" t="s">
        <v>283</v>
      </c>
      <c r="C162" s="238" t="s">
        <v>258</v>
      </c>
      <c r="D162" s="238" t="s">
        <v>399</v>
      </c>
      <c r="E162" s="238" t="s">
        <v>400</v>
      </c>
      <c r="F162" s="238" t="s">
        <v>390</v>
      </c>
      <c r="G162" s="239" t="n">
        <v>84.8</v>
      </c>
      <c r="H162" s="239" t="n">
        <v>33.7</v>
      </c>
      <c r="I162" s="240" t="n">
        <v>1839</v>
      </c>
      <c r="J162" s="241" t="n">
        <f aca="false">G162*I162</f>
        <v>155947.2</v>
      </c>
      <c r="K162" s="241" t="n">
        <f aca="false">J162-H162*I162</f>
        <v>93972.9</v>
      </c>
      <c r="L162" s="242" t="n">
        <f aca="false">IF(J162&gt;0,K162/J162,0)</f>
        <v>0.602594339622641</v>
      </c>
    </row>
    <row r="163" customFormat="false" ht="15" hidden="false" customHeight="true" outlineLevel="0" collapsed="false">
      <c r="A163" s="243" t="s">
        <v>409</v>
      </c>
      <c r="B163" s="243" t="s">
        <v>283</v>
      </c>
      <c r="C163" s="243" t="s">
        <v>258</v>
      </c>
      <c r="D163" s="243" t="s">
        <v>399</v>
      </c>
      <c r="E163" s="243" t="s">
        <v>402</v>
      </c>
      <c r="F163" s="243" t="s">
        <v>391</v>
      </c>
      <c r="G163" s="244" t="n">
        <v>109.9</v>
      </c>
      <c r="H163" s="244" t="n">
        <v>36.9</v>
      </c>
      <c r="I163" s="245" t="n">
        <v>2327</v>
      </c>
      <c r="J163" s="246" t="n">
        <f aca="false">G163*I163</f>
        <v>255737.3</v>
      </c>
      <c r="K163" s="246" t="n">
        <f aca="false">J163-H163*I163</f>
        <v>169871</v>
      </c>
      <c r="L163" s="247" t="n">
        <f aca="false">IF(J163&gt;0,K163/J163,0)</f>
        <v>0.664240218380346</v>
      </c>
    </row>
    <row r="164" customFormat="false" ht="15" hidden="false" customHeight="true" outlineLevel="0" collapsed="false">
      <c r="A164" s="238" t="s">
        <v>409</v>
      </c>
      <c r="B164" s="238" t="s">
        <v>283</v>
      </c>
      <c r="C164" s="238" t="s">
        <v>258</v>
      </c>
      <c r="D164" s="238" t="s">
        <v>399</v>
      </c>
      <c r="E164" s="238" t="s">
        <v>402</v>
      </c>
      <c r="F164" s="238" t="s">
        <v>392</v>
      </c>
      <c r="G164" s="239" t="n">
        <v>89.6</v>
      </c>
      <c r="H164" s="239" t="n">
        <v>31.6</v>
      </c>
      <c r="I164" s="240" t="n">
        <v>2274</v>
      </c>
      <c r="J164" s="241" t="n">
        <f aca="false">G164*I164</f>
        <v>203750.4</v>
      </c>
      <c r="K164" s="241" t="n">
        <f aca="false">J164-H164*I164</f>
        <v>131892</v>
      </c>
      <c r="L164" s="242" t="n">
        <f aca="false">IF(J164&gt;0,K164/J164,0)</f>
        <v>0.647321428571429</v>
      </c>
    </row>
    <row r="165" customFormat="false" ht="15" hidden="false" customHeight="true" outlineLevel="0" collapsed="false">
      <c r="A165" s="243" t="s">
        <v>409</v>
      </c>
      <c r="B165" s="243" t="s">
        <v>283</v>
      </c>
      <c r="C165" s="243" t="s">
        <v>258</v>
      </c>
      <c r="D165" s="243" t="s">
        <v>399</v>
      </c>
      <c r="E165" s="243" t="s">
        <v>401</v>
      </c>
      <c r="F165" s="243" t="s">
        <v>393</v>
      </c>
      <c r="G165" s="244" t="n">
        <v>75.4</v>
      </c>
      <c r="H165" s="244" t="n">
        <v>35.7</v>
      </c>
      <c r="I165" s="245" t="n">
        <v>2752</v>
      </c>
      <c r="J165" s="246" t="n">
        <f aca="false">G165*I165</f>
        <v>207500.8</v>
      </c>
      <c r="K165" s="246" t="n">
        <f aca="false">J165-H165*I165</f>
        <v>109254.4</v>
      </c>
      <c r="L165" s="247" t="n">
        <f aca="false">IF(J165&gt;0,K165/J165,0)</f>
        <v>0.526525198938992</v>
      </c>
    </row>
    <row r="166" customFormat="false" ht="15" hidden="false" customHeight="true" outlineLevel="0" collapsed="false">
      <c r="A166" s="238" t="s">
        <v>409</v>
      </c>
      <c r="B166" s="238" t="s">
        <v>283</v>
      </c>
      <c r="C166" s="238" t="s">
        <v>258</v>
      </c>
      <c r="D166" s="238" t="s">
        <v>399</v>
      </c>
      <c r="E166" s="238" t="s">
        <v>401</v>
      </c>
      <c r="F166" s="238" t="s">
        <v>394</v>
      </c>
      <c r="G166" s="239" t="n">
        <v>92.7</v>
      </c>
      <c r="H166" s="239" t="n">
        <v>34.6</v>
      </c>
      <c r="I166" s="240" t="n">
        <v>1997</v>
      </c>
      <c r="J166" s="241" t="n">
        <f aca="false">G166*I166</f>
        <v>185121.9</v>
      </c>
      <c r="K166" s="241" t="n">
        <f aca="false">J166-H166*I166</f>
        <v>116025.7</v>
      </c>
      <c r="L166" s="242" t="n">
        <f aca="false">IF(J166&gt;0,K166/J166,0)</f>
        <v>0.626752966558792</v>
      </c>
    </row>
    <row r="167" customFormat="false" ht="15" hidden="false" customHeight="true" outlineLevel="0" collapsed="false">
      <c r="A167" s="243" t="s">
        <v>409</v>
      </c>
      <c r="B167" s="243" t="s">
        <v>283</v>
      </c>
      <c r="C167" s="243" t="s">
        <v>258</v>
      </c>
      <c r="D167" s="243" t="s">
        <v>399</v>
      </c>
      <c r="E167" s="243" t="s">
        <v>402</v>
      </c>
      <c r="F167" s="243" t="s">
        <v>395</v>
      </c>
      <c r="G167" s="244" t="n">
        <v>93.4</v>
      </c>
      <c r="H167" s="244" t="n">
        <v>33.1</v>
      </c>
      <c r="I167" s="245" t="n">
        <v>1598</v>
      </c>
      <c r="J167" s="246" t="n">
        <f aca="false">G167*I167</f>
        <v>149253.2</v>
      </c>
      <c r="K167" s="246" t="n">
        <f aca="false">J167-H167*I167</f>
        <v>96359.4</v>
      </c>
      <c r="L167" s="247" t="n">
        <f aca="false">IF(J167&gt;0,K167/J167,0)</f>
        <v>0.645610278372591</v>
      </c>
    </row>
    <row r="168" customFormat="false" ht="15" hidden="false" customHeight="true" outlineLevel="0" collapsed="false">
      <c r="A168" s="238" t="s">
        <v>409</v>
      </c>
      <c r="B168" s="238" t="s">
        <v>283</v>
      </c>
      <c r="C168" s="238" t="s">
        <v>258</v>
      </c>
      <c r="D168" s="238" t="s">
        <v>399</v>
      </c>
      <c r="E168" s="238" t="s">
        <v>401</v>
      </c>
      <c r="F168" s="238" t="s">
        <v>397</v>
      </c>
      <c r="G168" s="239" t="n">
        <v>68.6</v>
      </c>
      <c r="H168" s="239" t="n">
        <v>32.1</v>
      </c>
      <c r="I168" s="240" t="n">
        <v>1576</v>
      </c>
      <c r="J168" s="241" t="n">
        <f aca="false">G168*I168</f>
        <v>108113.6</v>
      </c>
      <c r="K168" s="241" t="n">
        <f aca="false">J168-H168*I168</f>
        <v>57524</v>
      </c>
      <c r="L168" s="242" t="n">
        <f aca="false">IF(J168&gt;0,K168/J168,0)</f>
        <v>0.532069970845481</v>
      </c>
    </row>
    <row r="169" customFormat="false" ht="15" hidden="false" customHeight="true" outlineLevel="0" collapsed="false">
      <c r="A169" s="243" t="s">
        <v>409</v>
      </c>
      <c r="B169" s="243" t="s">
        <v>283</v>
      </c>
      <c r="C169" s="243" t="s">
        <v>258</v>
      </c>
      <c r="D169" s="243" t="s">
        <v>399</v>
      </c>
      <c r="E169" s="243" t="s">
        <v>401</v>
      </c>
      <c r="F169" s="243" t="s">
        <v>398</v>
      </c>
      <c r="G169" s="244" t="n">
        <v>86.8</v>
      </c>
      <c r="H169" s="244" t="n">
        <v>37.7</v>
      </c>
      <c r="I169" s="245" t="n">
        <v>590</v>
      </c>
      <c r="J169" s="246" t="n">
        <f aca="false">G169*I169</f>
        <v>51212</v>
      </c>
      <c r="K169" s="246" t="n">
        <f aca="false">J169-H169*I169</f>
        <v>28969</v>
      </c>
      <c r="L169" s="247" t="n">
        <f aca="false">IF(J169&gt;0,K169/J169,0)</f>
        <v>0.565668202764977</v>
      </c>
    </row>
    <row r="170" customFormat="false" ht="15" hidden="false" customHeight="true" outlineLevel="0" collapsed="false">
      <c r="A170" s="238" t="s">
        <v>409</v>
      </c>
      <c r="B170" s="238" t="s">
        <v>283</v>
      </c>
      <c r="C170" s="238" t="s">
        <v>258</v>
      </c>
      <c r="D170" s="238" t="s">
        <v>403</v>
      </c>
      <c r="E170" s="238" t="s">
        <v>404</v>
      </c>
      <c r="F170" s="238" t="s">
        <v>385</v>
      </c>
      <c r="G170" s="239" t="n">
        <v>101.7</v>
      </c>
      <c r="H170" s="239" t="n">
        <v>32.6</v>
      </c>
      <c r="I170" s="240" t="n">
        <v>939</v>
      </c>
      <c r="J170" s="241" t="n">
        <f aca="false">G170*I170</f>
        <v>95496.3</v>
      </c>
      <c r="K170" s="241" t="n">
        <f aca="false">J170-H170*I170</f>
        <v>64884.9</v>
      </c>
      <c r="L170" s="242" t="n">
        <f aca="false">IF(J170&gt;0,K170/J170,0)</f>
        <v>0.67944936086529</v>
      </c>
    </row>
    <row r="171" customFormat="false" ht="15" hidden="false" customHeight="true" outlineLevel="0" collapsed="false">
      <c r="A171" s="243" t="s">
        <v>409</v>
      </c>
      <c r="B171" s="243" t="s">
        <v>283</v>
      </c>
      <c r="C171" s="243" t="s">
        <v>258</v>
      </c>
      <c r="D171" s="243" t="s">
        <v>403</v>
      </c>
      <c r="E171" s="243" t="s">
        <v>404</v>
      </c>
      <c r="F171" s="243" t="s">
        <v>387</v>
      </c>
      <c r="G171" s="244" t="n">
        <v>67.2</v>
      </c>
      <c r="H171" s="244" t="n">
        <v>32.1</v>
      </c>
      <c r="I171" s="245" t="n">
        <v>1136</v>
      </c>
      <c r="J171" s="246" t="n">
        <f aca="false">G171*I171</f>
        <v>76339.2</v>
      </c>
      <c r="K171" s="246" t="n">
        <f aca="false">J171-H171*I171</f>
        <v>39873.6</v>
      </c>
      <c r="L171" s="247" t="n">
        <f aca="false">IF(J171&gt;0,K171/J171,0)</f>
        <v>0.522321428571429</v>
      </c>
    </row>
    <row r="172" customFormat="false" ht="15" hidden="false" customHeight="true" outlineLevel="0" collapsed="false">
      <c r="A172" s="238" t="s">
        <v>409</v>
      </c>
      <c r="B172" s="238" t="s">
        <v>283</v>
      </c>
      <c r="C172" s="238" t="s">
        <v>258</v>
      </c>
      <c r="D172" s="238" t="s">
        <v>403</v>
      </c>
      <c r="E172" s="238" t="s">
        <v>406</v>
      </c>
      <c r="F172" s="238" t="s">
        <v>388</v>
      </c>
      <c r="G172" s="239" t="n">
        <v>81.3</v>
      </c>
      <c r="H172" s="239" t="n">
        <v>29.5</v>
      </c>
      <c r="I172" s="240" t="n">
        <v>2166</v>
      </c>
      <c r="J172" s="241" t="n">
        <f aca="false">G172*I172</f>
        <v>176095.8</v>
      </c>
      <c r="K172" s="241" t="n">
        <f aca="false">J172-H172*I172</f>
        <v>112198.8</v>
      </c>
      <c r="L172" s="242" t="n">
        <f aca="false">IF(J172&gt;0,K172/J172,0)</f>
        <v>0.637146371463715</v>
      </c>
    </row>
    <row r="173" customFormat="false" ht="15" hidden="false" customHeight="true" outlineLevel="0" collapsed="false">
      <c r="A173" s="243" t="s">
        <v>409</v>
      </c>
      <c r="B173" s="243" t="s">
        <v>283</v>
      </c>
      <c r="C173" s="243" t="s">
        <v>258</v>
      </c>
      <c r="D173" s="243" t="s">
        <v>403</v>
      </c>
      <c r="E173" s="243" t="s">
        <v>405</v>
      </c>
      <c r="F173" s="243" t="s">
        <v>389</v>
      </c>
      <c r="G173" s="244" t="n">
        <v>97.3</v>
      </c>
      <c r="H173" s="244" t="n">
        <v>29.1</v>
      </c>
      <c r="I173" s="245" t="n">
        <v>1449</v>
      </c>
      <c r="J173" s="246" t="n">
        <f aca="false">G173*I173</f>
        <v>140987.7</v>
      </c>
      <c r="K173" s="246" t="n">
        <f aca="false">J173-H173*I173</f>
        <v>98821.8</v>
      </c>
      <c r="L173" s="247" t="n">
        <f aca="false">IF(J173&gt;0,K173/J173,0)</f>
        <v>0.700924974306269</v>
      </c>
    </row>
    <row r="174" customFormat="false" ht="15" hidden="false" customHeight="true" outlineLevel="0" collapsed="false">
      <c r="A174" s="238" t="s">
        <v>409</v>
      </c>
      <c r="B174" s="238" t="s">
        <v>283</v>
      </c>
      <c r="C174" s="238" t="s">
        <v>258</v>
      </c>
      <c r="D174" s="238" t="s">
        <v>403</v>
      </c>
      <c r="E174" s="238" t="s">
        <v>406</v>
      </c>
      <c r="F174" s="238" t="s">
        <v>390</v>
      </c>
      <c r="G174" s="239" t="n">
        <v>114.6</v>
      </c>
      <c r="H174" s="239" t="n">
        <v>33.4</v>
      </c>
      <c r="I174" s="240" t="n">
        <v>2807</v>
      </c>
      <c r="J174" s="241" t="n">
        <f aca="false">G174*I174</f>
        <v>321682.2</v>
      </c>
      <c r="K174" s="241" t="n">
        <f aca="false">J174-H174*I174</f>
        <v>227928.4</v>
      </c>
      <c r="L174" s="242" t="n">
        <f aca="false">IF(J174&gt;0,K174/J174,0)</f>
        <v>0.708551483420593</v>
      </c>
    </row>
    <row r="175" customFormat="false" ht="15" hidden="false" customHeight="true" outlineLevel="0" collapsed="false">
      <c r="A175" s="243" t="s">
        <v>409</v>
      </c>
      <c r="B175" s="243" t="s">
        <v>283</v>
      </c>
      <c r="C175" s="243" t="s">
        <v>258</v>
      </c>
      <c r="D175" s="243" t="s">
        <v>403</v>
      </c>
      <c r="E175" s="243" t="s">
        <v>404</v>
      </c>
      <c r="F175" s="243" t="s">
        <v>391</v>
      </c>
      <c r="G175" s="244" t="n">
        <v>77.8</v>
      </c>
      <c r="H175" s="244" t="n">
        <v>29.5</v>
      </c>
      <c r="I175" s="245" t="n">
        <v>2558</v>
      </c>
      <c r="J175" s="246" t="n">
        <f aca="false">G175*I175</f>
        <v>199012.4</v>
      </c>
      <c r="K175" s="246" t="n">
        <f aca="false">J175-H175*I175</f>
        <v>123551.4</v>
      </c>
      <c r="L175" s="247" t="n">
        <f aca="false">IF(J175&gt;0,K175/J175,0)</f>
        <v>0.620822622107969</v>
      </c>
    </row>
    <row r="176" customFormat="false" ht="15" hidden="false" customHeight="true" outlineLevel="0" collapsed="false">
      <c r="A176" s="238" t="s">
        <v>409</v>
      </c>
      <c r="B176" s="238" t="s">
        <v>283</v>
      </c>
      <c r="C176" s="238" t="s">
        <v>258</v>
      </c>
      <c r="D176" s="238" t="s">
        <v>403</v>
      </c>
      <c r="E176" s="238" t="s">
        <v>405</v>
      </c>
      <c r="F176" s="238" t="s">
        <v>392</v>
      </c>
      <c r="G176" s="239" t="n">
        <v>108.3</v>
      </c>
      <c r="H176" s="239" t="n">
        <v>39.6</v>
      </c>
      <c r="I176" s="240" t="n">
        <v>538</v>
      </c>
      <c r="J176" s="241" t="n">
        <f aca="false">G176*I176</f>
        <v>58265.4</v>
      </c>
      <c r="K176" s="241" t="n">
        <f aca="false">J176-H176*I176</f>
        <v>36960.6</v>
      </c>
      <c r="L176" s="242" t="n">
        <f aca="false">IF(J176&gt;0,K176/J176,0)</f>
        <v>0.634349030470914</v>
      </c>
    </row>
    <row r="177" customFormat="false" ht="15" hidden="false" customHeight="true" outlineLevel="0" collapsed="false">
      <c r="A177" s="243" t="s">
        <v>409</v>
      </c>
      <c r="B177" s="243" t="s">
        <v>283</v>
      </c>
      <c r="C177" s="243" t="s">
        <v>258</v>
      </c>
      <c r="D177" s="243" t="s">
        <v>403</v>
      </c>
      <c r="E177" s="243" t="s">
        <v>406</v>
      </c>
      <c r="F177" s="243" t="s">
        <v>393</v>
      </c>
      <c r="G177" s="244" t="n">
        <v>132.5</v>
      </c>
      <c r="H177" s="244" t="n">
        <v>38.3</v>
      </c>
      <c r="I177" s="245" t="n">
        <v>1051</v>
      </c>
      <c r="J177" s="246" t="n">
        <f aca="false">G177*I177</f>
        <v>139257.5</v>
      </c>
      <c r="K177" s="246" t="n">
        <f aca="false">J177-H177*I177</f>
        <v>99004.2</v>
      </c>
      <c r="L177" s="247" t="n">
        <f aca="false">IF(J177&gt;0,K177/J177,0)</f>
        <v>0.710943396226415</v>
      </c>
    </row>
    <row r="178" customFormat="false" ht="15" hidden="false" customHeight="true" outlineLevel="0" collapsed="false">
      <c r="A178" s="238" t="s">
        <v>409</v>
      </c>
      <c r="B178" s="238" t="s">
        <v>283</v>
      </c>
      <c r="C178" s="238" t="s">
        <v>258</v>
      </c>
      <c r="D178" s="238" t="s">
        <v>403</v>
      </c>
      <c r="E178" s="238" t="s">
        <v>406</v>
      </c>
      <c r="F178" s="238" t="s">
        <v>394</v>
      </c>
      <c r="G178" s="239" t="n">
        <v>68.4</v>
      </c>
      <c r="H178" s="239" t="n">
        <v>30.7</v>
      </c>
      <c r="I178" s="240" t="n">
        <v>3167</v>
      </c>
      <c r="J178" s="241" t="n">
        <f aca="false">G178*I178</f>
        <v>216622.8</v>
      </c>
      <c r="K178" s="241" t="n">
        <f aca="false">J178-H178*I178</f>
        <v>119395.9</v>
      </c>
      <c r="L178" s="242" t="n">
        <f aca="false">IF(J178&gt;0,K178/J178,0)</f>
        <v>0.551169590643275</v>
      </c>
    </row>
    <row r="179" customFormat="false" ht="15" hidden="false" customHeight="true" outlineLevel="0" collapsed="false">
      <c r="A179" s="243" t="s">
        <v>409</v>
      </c>
      <c r="B179" s="243" t="s">
        <v>283</v>
      </c>
      <c r="C179" s="243" t="s">
        <v>258</v>
      </c>
      <c r="D179" s="243" t="s">
        <v>403</v>
      </c>
      <c r="E179" s="243" t="s">
        <v>404</v>
      </c>
      <c r="F179" s="243" t="s">
        <v>395</v>
      </c>
      <c r="G179" s="244" t="n">
        <v>121.1</v>
      </c>
      <c r="H179" s="244" t="n">
        <v>39.3</v>
      </c>
      <c r="I179" s="245" t="n">
        <v>2218</v>
      </c>
      <c r="J179" s="246" t="n">
        <f aca="false">G179*I179</f>
        <v>268599.8</v>
      </c>
      <c r="K179" s="246" t="n">
        <f aca="false">J179-H179*I179</f>
        <v>181432.4</v>
      </c>
      <c r="L179" s="247" t="n">
        <f aca="false">IF(J179&gt;0,K179/J179,0)</f>
        <v>0.675474814203138</v>
      </c>
    </row>
    <row r="180" customFormat="false" ht="15" hidden="false" customHeight="true" outlineLevel="0" collapsed="false">
      <c r="A180" s="238" t="s">
        <v>409</v>
      </c>
      <c r="B180" s="238" t="s">
        <v>283</v>
      </c>
      <c r="C180" s="238" t="s">
        <v>258</v>
      </c>
      <c r="D180" s="238" t="s">
        <v>403</v>
      </c>
      <c r="E180" s="238" t="s">
        <v>406</v>
      </c>
      <c r="F180" s="238" t="s">
        <v>397</v>
      </c>
      <c r="G180" s="239" t="n">
        <v>91.8</v>
      </c>
      <c r="H180" s="239" t="n">
        <v>29</v>
      </c>
      <c r="I180" s="240" t="n">
        <v>328</v>
      </c>
      <c r="J180" s="241" t="n">
        <f aca="false">G180*I180</f>
        <v>30110.4</v>
      </c>
      <c r="K180" s="241" t="n">
        <f aca="false">J180-H180*I180</f>
        <v>20598.4</v>
      </c>
      <c r="L180" s="242" t="n">
        <f aca="false">IF(J180&gt;0,K180/J180,0)</f>
        <v>0.684095860566449</v>
      </c>
    </row>
    <row r="181" customFormat="false" ht="15" hidden="false" customHeight="true" outlineLevel="0" collapsed="false">
      <c r="A181" s="243" t="s">
        <v>409</v>
      </c>
      <c r="B181" s="243" t="s">
        <v>283</v>
      </c>
      <c r="C181" s="243" t="s">
        <v>258</v>
      </c>
      <c r="D181" s="243" t="s">
        <v>403</v>
      </c>
      <c r="E181" s="243" t="s">
        <v>404</v>
      </c>
      <c r="F181" s="243" t="s">
        <v>398</v>
      </c>
      <c r="G181" s="244" t="n">
        <v>104.1</v>
      </c>
      <c r="H181" s="244" t="n">
        <v>30.8</v>
      </c>
      <c r="I181" s="245" t="n">
        <v>2213</v>
      </c>
      <c r="J181" s="246" t="n">
        <f aca="false">G181*I181</f>
        <v>230373.3</v>
      </c>
      <c r="K181" s="246" t="n">
        <f aca="false">J181-H181*I181</f>
        <v>162212.9</v>
      </c>
      <c r="L181" s="247" t="n">
        <f aca="false">IF(J181&gt;0,K181/J181,0)</f>
        <v>0.704130643611912</v>
      </c>
    </row>
    <row r="182" customFormat="false" ht="15" hidden="false" customHeight="true" outlineLevel="0" collapsed="false">
      <c r="A182" s="238" t="s">
        <v>410</v>
      </c>
      <c r="B182" s="238" t="s">
        <v>287</v>
      </c>
      <c r="C182" s="238" t="s">
        <v>258</v>
      </c>
      <c r="D182" s="238" t="s">
        <v>383</v>
      </c>
      <c r="E182" s="238" t="s">
        <v>396</v>
      </c>
      <c r="F182" s="238" t="s">
        <v>385</v>
      </c>
      <c r="G182" s="239" t="n">
        <v>203.7</v>
      </c>
      <c r="H182" s="239" t="n">
        <v>69.3</v>
      </c>
      <c r="I182" s="240" t="n">
        <v>4603</v>
      </c>
      <c r="J182" s="241" t="n">
        <f aca="false">G182*I182</f>
        <v>937631.1</v>
      </c>
      <c r="K182" s="241" t="n">
        <f aca="false">J182-H182*I182</f>
        <v>618643.2</v>
      </c>
      <c r="L182" s="242" t="n">
        <f aca="false">IF(J182&gt;0,K182/J182,0)</f>
        <v>0.65979381443299</v>
      </c>
    </row>
    <row r="183" customFormat="false" ht="15" hidden="false" customHeight="true" outlineLevel="0" collapsed="false">
      <c r="A183" s="243" t="s">
        <v>410</v>
      </c>
      <c r="B183" s="243" t="s">
        <v>287</v>
      </c>
      <c r="C183" s="243" t="s">
        <v>258</v>
      </c>
      <c r="D183" s="243" t="s">
        <v>383</v>
      </c>
      <c r="E183" s="243" t="s">
        <v>386</v>
      </c>
      <c r="F183" s="243" t="s">
        <v>387</v>
      </c>
      <c r="G183" s="244" t="n">
        <v>140.1</v>
      </c>
      <c r="H183" s="244" t="n">
        <v>64.6</v>
      </c>
      <c r="I183" s="245" t="n">
        <v>1306</v>
      </c>
      <c r="J183" s="246" t="n">
        <f aca="false">G183*I183</f>
        <v>182970.6</v>
      </c>
      <c r="K183" s="246" t="n">
        <f aca="false">J183-H183*I183</f>
        <v>98603</v>
      </c>
      <c r="L183" s="247" t="n">
        <f aca="false">IF(J183&gt;0,K183/J183,0)</f>
        <v>0.538900785153462</v>
      </c>
    </row>
    <row r="184" customFormat="false" ht="15" hidden="false" customHeight="true" outlineLevel="0" collapsed="false">
      <c r="A184" s="238" t="s">
        <v>410</v>
      </c>
      <c r="B184" s="238" t="s">
        <v>287</v>
      </c>
      <c r="C184" s="238" t="s">
        <v>258</v>
      </c>
      <c r="D184" s="238" t="s">
        <v>383</v>
      </c>
      <c r="E184" s="238" t="s">
        <v>386</v>
      </c>
      <c r="F184" s="238" t="s">
        <v>388</v>
      </c>
      <c r="G184" s="239" t="n">
        <v>157.8</v>
      </c>
      <c r="H184" s="239" t="n">
        <v>69</v>
      </c>
      <c r="I184" s="240" t="n">
        <v>2678</v>
      </c>
      <c r="J184" s="241" t="n">
        <f aca="false">G184*I184</f>
        <v>422588.4</v>
      </c>
      <c r="K184" s="241" t="n">
        <f aca="false">J184-H184*I184</f>
        <v>237806.4</v>
      </c>
      <c r="L184" s="242" t="n">
        <f aca="false">IF(J184&gt;0,K184/J184,0)</f>
        <v>0.562737642585551</v>
      </c>
    </row>
    <row r="185" customFormat="false" ht="15" hidden="false" customHeight="true" outlineLevel="0" collapsed="false">
      <c r="A185" s="243" t="s">
        <v>410</v>
      </c>
      <c r="B185" s="243" t="s">
        <v>287</v>
      </c>
      <c r="C185" s="243" t="s">
        <v>258</v>
      </c>
      <c r="D185" s="243" t="s">
        <v>383</v>
      </c>
      <c r="E185" s="243" t="s">
        <v>396</v>
      </c>
      <c r="F185" s="243" t="s">
        <v>389</v>
      </c>
      <c r="G185" s="244" t="n">
        <v>145.9</v>
      </c>
      <c r="H185" s="244" t="n">
        <v>52</v>
      </c>
      <c r="I185" s="245" t="n">
        <v>7973</v>
      </c>
      <c r="J185" s="246" t="n">
        <f aca="false">G185*I185</f>
        <v>1163260.7</v>
      </c>
      <c r="K185" s="246" t="n">
        <f aca="false">J185-H185*I185</f>
        <v>748664.7</v>
      </c>
      <c r="L185" s="247" t="n">
        <f aca="false">IF(J185&gt;0,K185/J185,0)</f>
        <v>0.643591501028102</v>
      </c>
    </row>
    <row r="186" customFormat="false" ht="15" hidden="false" customHeight="true" outlineLevel="0" collapsed="false">
      <c r="A186" s="238" t="s">
        <v>410</v>
      </c>
      <c r="B186" s="238" t="s">
        <v>287</v>
      </c>
      <c r="C186" s="238" t="s">
        <v>258</v>
      </c>
      <c r="D186" s="238" t="s">
        <v>383</v>
      </c>
      <c r="E186" s="238" t="s">
        <v>396</v>
      </c>
      <c r="F186" s="238" t="s">
        <v>390</v>
      </c>
      <c r="G186" s="239" t="n">
        <v>205.6</v>
      </c>
      <c r="H186" s="239" t="n">
        <v>69.3</v>
      </c>
      <c r="I186" s="240" t="n">
        <v>7163</v>
      </c>
      <c r="J186" s="241" t="n">
        <f aca="false">G186*I186</f>
        <v>1472712.8</v>
      </c>
      <c r="K186" s="241" t="n">
        <f aca="false">J186-H186*I186</f>
        <v>976316.9</v>
      </c>
      <c r="L186" s="242" t="n">
        <f aca="false">IF(J186&gt;0,K186/J186,0)</f>
        <v>0.662937743190662</v>
      </c>
    </row>
    <row r="187" customFormat="false" ht="15" hidden="false" customHeight="true" outlineLevel="0" collapsed="false">
      <c r="A187" s="243" t="s">
        <v>410</v>
      </c>
      <c r="B187" s="243" t="s">
        <v>287</v>
      </c>
      <c r="C187" s="243" t="s">
        <v>258</v>
      </c>
      <c r="D187" s="243" t="s">
        <v>383</v>
      </c>
      <c r="E187" s="243" t="s">
        <v>396</v>
      </c>
      <c r="F187" s="243" t="s">
        <v>391</v>
      </c>
      <c r="G187" s="244" t="n">
        <v>173.5</v>
      </c>
      <c r="H187" s="244" t="n">
        <v>61.5</v>
      </c>
      <c r="I187" s="245" t="n">
        <v>1010</v>
      </c>
      <c r="J187" s="246" t="n">
        <f aca="false">G187*I187</f>
        <v>175235</v>
      </c>
      <c r="K187" s="246" t="n">
        <f aca="false">J187-H187*I187</f>
        <v>113120</v>
      </c>
      <c r="L187" s="247" t="n">
        <f aca="false">IF(J187&gt;0,K187/J187,0)</f>
        <v>0.645533141210375</v>
      </c>
    </row>
    <row r="188" customFormat="false" ht="15" hidden="false" customHeight="true" outlineLevel="0" collapsed="false">
      <c r="A188" s="238" t="s">
        <v>410</v>
      </c>
      <c r="B188" s="238" t="s">
        <v>287</v>
      </c>
      <c r="C188" s="238" t="s">
        <v>258</v>
      </c>
      <c r="D188" s="238" t="s">
        <v>383</v>
      </c>
      <c r="E188" s="238" t="s">
        <v>396</v>
      </c>
      <c r="F188" s="238" t="s">
        <v>392</v>
      </c>
      <c r="G188" s="239" t="n">
        <v>159.2</v>
      </c>
      <c r="H188" s="239" t="n">
        <v>64.7</v>
      </c>
      <c r="I188" s="240" t="n">
        <v>956</v>
      </c>
      <c r="J188" s="241" t="n">
        <f aca="false">G188*I188</f>
        <v>152195.2</v>
      </c>
      <c r="K188" s="241" t="n">
        <f aca="false">J188-H188*I188</f>
        <v>90342</v>
      </c>
      <c r="L188" s="242" t="n">
        <f aca="false">IF(J188&gt;0,K188/J188,0)</f>
        <v>0.593592964824121</v>
      </c>
    </row>
    <row r="189" customFormat="false" ht="15" hidden="false" customHeight="true" outlineLevel="0" collapsed="false">
      <c r="A189" s="243" t="s">
        <v>410</v>
      </c>
      <c r="B189" s="243" t="s">
        <v>287</v>
      </c>
      <c r="C189" s="243" t="s">
        <v>258</v>
      </c>
      <c r="D189" s="243" t="s">
        <v>383</v>
      </c>
      <c r="E189" s="243" t="s">
        <v>384</v>
      </c>
      <c r="F189" s="243" t="s">
        <v>393</v>
      </c>
      <c r="G189" s="244" t="n">
        <v>201.7</v>
      </c>
      <c r="H189" s="244" t="n">
        <v>67.9</v>
      </c>
      <c r="I189" s="245" t="n">
        <v>1383</v>
      </c>
      <c r="J189" s="246" t="n">
        <f aca="false">G189*I189</f>
        <v>278951.1</v>
      </c>
      <c r="K189" s="246" t="n">
        <f aca="false">J189-H189*I189</f>
        <v>185045.4</v>
      </c>
      <c r="L189" s="247" t="n">
        <f aca="false">IF(J189&gt;0,K189/J189,0)</f>
        <v>0.663361427863163</v>
      </c>
    </row>
    <row r="190" customFormat="false" ht="15" hidden="false" customHeight="true" outlineLevel="0" collapsed="false">
      <c r="A190" s="238" t="s">
        <v>410</v>
      </c>
      <c r="B190" s="238" t="s">
        <v>287</v>
      </c>
      <c r="C190" s="238" t="s">
        <v>258</v>
      </c>
      <c r="D190" s="238" t="s">
        <v>383</v>
      </c>
      <c r="E190" s="238" t="s">
        <v>384</v>
      </c>
      <c r="F190" s="238" t="s">
        <v>394</v>
      </c>
      <c r="G190" s="239" t="n">
        <v>216.8</v>
      </c>
      <c r="H190" s="239" t="n">
        <v>64</v>
      </c>
      <c r="I190" s="240" t="n">
        <v>2432</v>
      </c>
      <c r="J190" s="241" t="n">
        <f aca="false">G190*I190</f>
        <v>527257.6</v>
      </c>
      <c r="K190" s="241" t="n">
        <f aca="false">J190-H190*I190</f>
        <v>371609.6</v>
      </c>
      <c r="L190" s="242" t="n">
        <f aca="false">IF(J190&gt;0,K190/J190,0)</f>
        <v>0.70479704797048</v>
      </c>
    </row>
    <row r="191" customFormat="false" ht="15" hidden="false" customHeight="true" outlineLevel="0" collapsed="false">
      <c r="A191" s="243" t="s">
        <v>410</v>
      </c>
      <c r="B191" s="243" t="s">
        <v>287</v>
      </c>
      <c r="C191" s="243" t="s">
        <v>258</v>
      </c>
      <c r="D191" s="243" t="s">
        <v>383</v>
      </c>
      <c r="E191" s="243" t="s">
        <v>396</v>
      </c>
      <c r="F191" s="243" t="s">
        <v>395</v>
      </c>
      <c r="G191" s="244" t="n">
        <v>198.5</v>
      </c>
      <c r="H191" s="244" t="n">
        <v>64.5</v>
      </c>
      <c r="I191" s="245" t="n">
        <v>3408</v>
      </c>
      <c r="J191" s="246" t="n">
        <f aca="false">G191*I191</f>
        <v>676488</v>
      </c>
      <c r="K191" s="246" t="n">
        <f aca="false">J191-H191*I191</f>
        <v>456672</v>
      </c>
      <c r="L191" s="247" t="n">
        <f aca="false">IF(J191&gt;0,K191/J191,0)</f>
        <v>0.675062972292192</v>
      </c>
    </row>
    <row r="192" customFormat="false" ht="15" hidden="false" customHeight="true" outlineLevel="0" collapsed="false">
      <c r="A192" s="238" t="s">
        <v>410</v>
      </c>
      <c r="B192" s="238" t="s">
        <v>287</v>
      </c>
      <c r="C192" s="238" t="s">
        <v>258</v>
      </c>
      <c r="D192" s="238" t="s">
        <v>383</v>
      </c>
      <c r="E192" s="238" t="s">
        <v>386</v>
      </c>
      <c r="F192" s="238" t="s">
        <v>397</v>
      </c>
      <c r="G192" s="239" t="n">
        <v>177.7</v>
      </c>
      <c r="H192" s="239" t="n">
        <v>55.6</v>
      </c>
      <c r="I192" s="240" t="n">
        <v>6121</v>
      </c>
      <c r="J192" s="241" t="n">
        <f aca="false">G192*I192</f>
        <v>1087701.7</v>
      </c>
      <c r="K192" s="241" t="n">
        <f aca="false">J192-H192*I192</f>
        <v>747374.1</v>
      </c>
      <c r="L192" s="242" t="n">
        <f aca="false">IF(J192&gt;0,K192/J192,0)</f>
        <v>0.687113111986494</v>
      </c>
    </row>
    <row r="193" customFormat="false" ht="15" hidden="false" customHeight="true" outlineLevel="0" collapsed="false">
      <c r="A193" s="243" t="s">
        <v>410</v>
      </c>
      <c r="B193" s="243" t="s">
        <v>287</v>
      </c>
      <c r="C193" s="243" t="s">
        <v>258</v>
      </c>
      <c r="D193" s="243" t="s">
        <v>383</v>
      </c>
      <c r="E193" s="243" t="s">
        <v>384</v>
      </c>
      <c r="F193" s="243" t="s">
        <v>398</v>
      </c>
      <c r="G193" s="244" t="n">
        <v>146</v>
      </c>
      <c r="H193" s="244" t="n">
        <v>53.2</v>
      </c>
      <c r="I193" s="245" t="n">
        <v>2242</v>
      </c>
      <c r="J193" s="246" t="n">
        <f aca="false">G193*I193</f>
        <v>327332</v>
      </c>
      <c r="K193" s="246" t="n">
        <f aca="false">J193-H193*I193</f>
        <v>208057.6</v>
      </c>
      <c r="L193" s="247" t="n">
        <f aca="false">IF(J193&gt;0,K193/J193,0)</f>
        <v>0.635616438356164</v>
      </c>
    </row>
    <row r="194" customFormat="false" ht="15" hidden="false" customHeight="true" outlineLevel="0" collapsed="false">
      <c r="A194" s="238" t="s">
        <v>410</v>
      </c>
      <c r="B194" s="238" t="s">
        <v>287</v>
      </c>
      <c r="C194" s="238" t="s">
        <v>258</v>
      </c>
      <c r="D194" s="238" t="s">
        <v>399</v>
      </c>
      <c r="E194" s="238" t="s">
        <v>401</v>
      </c>
      <c r="F194" s="238" t="s">
        <v>385</v>
      </c>
      <c r="G194" s="239" t="n">
        <v>131.1</v>
      </c>
      <c r="H194" s="239" t="n">
        <v>56.2</v>
      </c>
      <c r="I194" s="240" t="n">
        <v>3922</v>
      </c>
      <c r="J194" s="241" t="n">
        <f aca="false">G194*I194</f>
        <v>514174.2</v>
      </c>
      <c r="K194" s="241" t="n">
        <f aca="false">J194-H194*I194</f>
        <v>293757.8</v>
      </c>
      <c r="L194" s="242" t="n">
        <f aca="false">IF(J194&gt;0,K194/J194,0)</f>
        <v>0.571319603356217</v>
      </c>
    </row>
    <row r="195" customFormat="false" ht="15" hidden="false" customHeight="true" outlineLevel="0" collapsed="false">
      <c r="A195" s="243" t="s">
        <v>410</v>
      </c>
      <c r="B195" s="243" t="s">
        <v>287</v>
      </c>
      <c r="C195" s="243" t="s">
        <v>258</v>
      </c>
      <c r="D195" s="243" t="s">
        <v>399</v>
      </c>
      <c r="E195" s="243" t="s">
        <v>402</v>
      </c>
      <c r="F195" s="243" t="s">
        <v>387</v>
      </c>
      <c r="G195" s="244" t="n">
        <v>158.5</v>
      </c>
      <c r="H195" s="244" t="n">
        <v>54</v>
      </c>
      <c r="I195" s="245" t="n">
        <v>3245</v>
      </c>
      <c r="J195" s="246" t="n">
        <f aca="false">G195*I195</f>
        <v>514332.5</v>
      </c>
      <c r="K195" s="246" t="n">
        <f aca="false">J195-H195*I195</f>
        <v>339102.5</v>
      </c>
      <c r="L195" s="247" t="n">
        <f aca="false">IF(J195&gt;0,K195/J195,0)</f>
        <v>0.659305993690852</v>
      </c>
    </row>
    <row r="196" customFormat="false" ht="15" hidden="false" customHeight="true" outlineLevel="0" collapsed="false">
      <c r="A196" s="238" t="s">
        <v>410</v>
      </c>
      <c r="B196" s="238" t="s">
        <v>287</v>
      </c>
      <c r="C196" s="238" t="s">
        <v>258</v>
      </c>
      <c r="D196" s="238" t="s">
        <v>399</v>
      </c>
      <c r="E196" s="238" t="s">
        <v>400</v>
      </c>
      <c r="F196" s="238" t="s">
        <v>388</v>
      </c>
      <c r="G196" s="239" t="n">
        <v>204.3</v>
      </c>
      <c r="H196" s="239" t="n">
        <v>60.7</v>
      </c>
      <c r="I196" s="240" t="n">
        <v>753</v>
      </c>
      <c r="J196" s="241" t="n">
        <f aca="false">G196*I196</f>
        <v>153837.9</v>
      </c>
      <c r="K196" s="241" t="n">
        <f aca="false">J196-H196*I196</f>
        <v>108130.8</v>
      </c>
      <c r="L196" s="242" t="n">
        <f aca="false">IF(J196&gt;0,K196/J196,0)</f>
        <v>0.702887909936368</v>
      </c>
    </row>
    <row r="197" customFormat="false" ht="15" hidden="false" customHeight="true" outlineLevel="0" collapsed="false">
      <c r="A197" s="243" t="s">
        <v>410</v>
      </c>
      <c r="B197" s="243" t="s">
        <v>287</v>
      </c>
      <c r="C197" s="243" t="s">
        <v>258</v>
      </c>
      <c r="D197" s="243" t="s">
        <v>399</v>
      </c>
      <c r="E197" s="243" t="s">
        <v>400</v>
      </c>
      <c r="F197" s="243" t="s">
        <v>389</v>
      </c>
      <c r="G197" s="244" t="n">
        <v>141.4</v>
      </c>
      <c r="H197" s="244" t="n">
        <v>54.6</v>
      </c>
      <c r="I197" s="245" t="n">
        <v>1458</v>
      </c>
      <c r="J197" s="246" t="n">
        <f aca="false">G197*I197</f>
        <v>206161.2</v>
      </c>
      <c r="K197" s="246" t="n">
        <f aca="false">J197-H197*I197</f>
        <v>126554.4</v>
      </c>
      <c r="L197" s="247" t="n">
        <f aca="false">IF(J197&gt;0,K197/J197,0)</f>
        <v>0.613861386138614</v>
      </c>
    </row>
    <row r="198" customFormat="false" ht="15" hidden="false" customHeight="true" outlineLevel="0" collapsed="false">
      <c r="A198" s="238" t="s">
        <v>410</v>
      </c>
      <c r="B198" s="238" t="s">
        <v>287</v>
      </c>
      <c r="C198" s="238" t="s">
        <v>258</v>
      </c>
      <c r="D198" s="238" t="s">
        <v>399</v>
      </c>
      <c r="E198" s="238" t="s">
        <v>401</v>
      </c>
      <c r="F198" s="238" t="s">
        <v>390</v>
      </c>
      <c r="G198" s="239" t="n">
        <v>113.4</v>
      </c>
      <c r="H198" s="239" t="n">
        <v>54.6</v>
      </c>
      <c r="I198" s="240" t="n">
        <v>770</v>
      </c>
      <c r="J198" s="241" t="n">
        <f aca="false">G198*I198</f>
        <v>87318</v>
      </c>
      <c r="K198" s="241" t="n">
        <f aca="false">J198-H198*I198</f>
        <v>45276</v>
      </c>
      <c r="L198" s="242" t="n">
        <f aca="false">IF(J198&gt;0,K198/J198,0)</f>
        <v>0.518518518518519</v>
      </c>
    </row>
    <row r="199" customFormat="false" ht="15" hidden="false" customHeight="true" outlineLevel="0" collapsed="false">
      <c r="A199" s="243" t="s">
        <v>410</v>
      </c>
      <c r="B199" s="243" t="s">
        <v>287</v>
      </c>
      <c r="C199" s="243" t="s">
        <v>258</v>
      </c>
      <c r="D199" s="243" t="s">
        <v>399</v>
      </c>
      <c r="E199" s="243" t="s">
        <v>402</v>
      </c>
      <c r="F199" s="243" t="s">
        <v>391</v>
      </c>
      <c r="G199" s="244" t="n">
        <v>184.4</v>
      </c>
      <c r="H199" s="244" t="n">
        <v>60.1</v>
      </c>
      <c r="I199" s="245" t="n">
        <v>1913</v>
      </c>
      <c r="J199" s="246" t="n">
        <f aca="false">G199*I199</f>
        <v>352757.2</v>
      </c>
      <c r="K199" s="246" t="n">
        <f aca="false">J199-H199*I199</f>
        <v>237785.9</v>
      </c>
      <c r="L199" s="247" t="n">
        <f aca="false">IF(J199&gt;0,K199/J199,0)</f>
        <v>0.674078091106291</v>
      </c>
    </row>
    <row r="200" customFormat="false" ht="15" hidden="false" customHeight="true" outlineLevel="0" collapsed="false">
      <c r="A200" s="238" t="s">
        <v>410</v>
      </c>
      <c r="B200" s="238" t="s">
        <v>287</v>
      </c>
      <c r="C200" s="238" t="s">
        <v>258</v>
      </c>
      <c r="D200" s="238" t="s">
        <v>399</v>
      </c>
      <c r="E200" s="238" t="s">
        <v>402</v>
      </c>
      <c r="F200" s="238" t="s">
        <v>392</v>
      </c>
      <c r="G200" s="239" t="n">
        <v>237.8</v>
      </c>
      <c r="H200" s="239" t="n">
        <v>70</v>
      </c>
      <c r="I200" s="240" t="n">
        <v>1981</v>
      </c>
      <c r="J200" s="241" t="n">
        <f aca="false">G200*I200</f>
        <v>471081.8</v>
      </c>
      <c r="K200" s="241" t="n">
        <f aca="false">J200-H200*I200</f>
        <v>332411.8</v>
      </c>
      <c r="L200" s="242" t="n">
        <f aca="false">IF(J200&gt;0,K200/J200,0)</f>
        <v>0.705634987384357</v>
      </c>
    </row>
    <row r="201" customFormat="false" ht="15" hidden="false" customHeight="true" outlineLevel="0" collapsed="false">
      <c r="A201" s="243" t="s">
        <v>410</v>
      </c>
      <c r="B201" s="243" t="s">
        <v>287</v>
      </c>
      <c r="C201" s="243" t="s">
        <v>258</v>
      </c>
      <c r="D201" s="243" t="s">
        <v>399</v>
      </c>
      <c r="E201" s="243" t="s">
        <v>401</v>
      </c>
      <c r="F201" s="243" t="s">
        <v>393</v>
      </c>
      <c r="G201" s="244" t="n">
        <v>177.5</v>
      </c>
      <c r="H201" s="244" t="n">
        <v>63.7</v>
      </c>
      <c r="I201" s="245" t="n">
        <v>2604</v>
      </c>
      <c r="J201" s="246" t="n">
        <f aca="false">G201*I201</f>
        <v>462210</v>
      </c>
      <c r="K201" s="246" t="n">
        <f aca="false">J201-H201*I201</f>
        <v>296335.2</v>
      </c>
      <c r="L201" s="247" t="n">
        <f aca="false">IF(J201&gt;0,K201/J201,0)</f>
        <v>0.64112676056338</v>
      </c>
    </row>
    <row r="202" customFormat="false" ht="15" hidden="false" customHeight="true" outlineLevel="0" collapsed="false">
      <c r="A202" s="238" t="s">
        <v>410</v>
      </c>
      <c r="B202" s="238" t="s">
        <v>287</v>
      </c>
      <c r="C202" s="238" t="s">
        <v>258</v>
      </c>
      <c r="D202" s="238" t="s">
        <v>399</v>
      </c>
      <c r="E202" s="238" t="s">
        <v>401</v>
      </c>
      <c r="F202" s="238" t="s">
        <v>394</v>
      </c>
      <c r="G202" s="239" t="n">
        <v>164.3</v>
      </c>
      <c r="H202" s="239" t="n">
        <v>64</v>
      </c>
      <c r="I202" s="240" t="n">
        <v>2182</v>
      </c>
      <c r="J202" s="241" t="n">
        <f aca="false">G202*I202</f>
        <v>358502.6</v>
      </c>
      <c r="K202" s="241" t="n">
        <f aca="false">J202-H202*I202</f>
        <v>218854.6</v>
      </c>
      <c r="L202" s="242" t="n">
        <f aca="false">IF(J202&gt;0,K202/J202,0)</f>
        <v>0.610468654899574</v>
      </c>
    </row>
    <row r="203" customFormat="false" ht="15" hidden="false" customHeight="true" outlineLevel="0" collapsed="false">
      <c r="A203" s="243" t="s">
        <v>410</v>
      </c>
      <c r="B203" s="243" t="s">
        <v>287</v>
      </c>
      <c r="C203" s="243" t="s">
        <v>258</v>
      </c>
      <c r="D203" s="243" t="s">
        <v>399</v>
      </c>
      <c r="E203" s="243" t="s">
        <v>402</v>
      </c>
      <c r="F203" s="243" t="s">
        <v>395</v>
      </c>
      <c r="G203" s="244" t="n">
        <v>129.8</v>
      </c>
      <c r="H203" s="244" t="n">
        <v>60</v>
      </c>
      <c r="I203" s="245" t="n">
        <v>852</v>
      </c>
      <c r="J203" s="246" t="n">
        <f aca="false">G203*I203</f>
        <v>110589.6</v>
      </c>
      <c r="K203" s="246" t="n">
        <f aca="false">J203-H203*I203</f>
        <v>59469.6</v>
      </c>
      <c r="L203" s="247" t="n">
        <f aca="false">IF(J203&gt;0,K203/J203,0)</f>
        <v>0.537750385208012</v>
      </c>
    </row>
    <row r="204" customFormat="false" ht="15" hidden="false" customHeight="true" outlineLevel="0" collapsed="false">
      <c r="A204" s="238" t="s">
        <v>410</v>
      </c>
      <c r="B204" s="238" t="s">
        <v>287</v>
      </c>
      <c r="C204" s="238" t="s">
        <v>258</v>
      </c>
      <c r="D204" s="238" t="s">
        <v>399</v>
      </c>
      <c r="E204" s="238" t="s">
        <v>402</v>
      </c>
      <c r="F204" s="238" t="s">
        <v>397</v>
      </c>
      <c r="G204" s="239" t="n">
        <v>200.2</v>
      </c>
      <c r="H204" s="239" t="n">
        <v>58.3</v>
      </c>
      <c r="I204" s="240" t="n">
        <v>1056</v>
      </c>
      <c r="J204" s="241" t="n">
        <f aca="false">G204*I204</f>
        <v>211411.2</v>
      </c>
      <c r="K204" s="241" t="n">
        <f aca="false">J204-H204*I204</f>
        <v>149846.4</v>
      </c>
      <c r="L204" s="242" t="n">
        <f aca="false">IF(J204&gt;0,K204/J204,0)</f>
        <v>0.708791208791209</v>
      </c>
    </row>
    <row r="205" customFormat="false" ht="15" hidden="false" customHeight="true" outlineLevel="0" collapsed="false">
      <c r="A205" s="243" t="s">
        <v>410</v>
      </c>
      <c r="B205" s="243" t="s">
        <v>287</v>
      </c>
      <c r="C205" s="243" t="s">
        <v>258</v>
      </c>
      <c r="D205" s="243" t="s">
        <v>399</v>
      </c>
      <c r="E205" s="243" t="s">
        <v>401</v>
      </c>
      <c r="F205" s="243" t="s">
        <v>398</v>
      </c>
      <c r="G205" s="244" t="n">
        <v>185.4</v>
      </c>
      <c r="H205" s="244" t="n">
        <v>58.8</v>
      </c>
      <c r="I205" s="245" t="n">
        <v>1889</v>
      </c>
      <c r="J205" s="246" t="n">
        <f aca="false">G205*I205</f>
        <v>350220.6</v>
      </c>
      <c r="K205" s="246" t="n">
        <f aca="false">J205-H205*I205</f>
        <v>239147.4</v>
      </c>
      <c r="L205" s="247" t="n">
        <f aca="false">IF(J205&gt;0,K205/J205,0)</f>
        <v>0.682847896440129</v>
      </c>
    </row>
    <row r="206" customFormat="false" ht="15" hidden="false" customHeight="true" outlineLevel="0" collapsed="false">
      <c r="A206" s="238" t="s">
        <v>410</v>
      </c>
      <c r="B206" s="238" t="s">
        <v>287</v>
      </c>
      <c r="C206" s="238" t="s">
        <v>258</v>
      </c>
      <c r="D206" s="238" t="s">
        <v>403</v>
      </c>
      <c r="E206" s="238" t="s">
        <v>405</v>
      </c>
      <c r="F206" s="238" t="s">
        <v>385</v>
      </c>
      <c r="G206" s="239" t="n">
        <v>163.9</v>
      </c>
      <c r="H206" s="239" t="n">
        <v>53.6</v>
      </c>
      <c r="I206" s="240" t="n">
        <v>897</v>
      </c>
      <c r="J206" s="241" t="n">
        <f aca="false">G206*I206</f>
        <v>147018.3</v>
      </c>
      <c r="K206" s="241" t="n">
        <f aca="false">J206-H206*I206</f>
        <v>98939.1</v>
      </c>
      <c r="L206" s="242" t="n">
        <f aca="false">IF(J206&gt;0,K206/J206,0)</f>
        <v>0.672971323978035</v>
      </c>
    </row>
    <row r="207" customFormat="false" ht="15" hidden="false" customHeight="true" outlineLevel="0" collapsed="false">
      <c r="A207" s="243" t="s">
        <v>410</v>
      </c>
      <c r="B207" s="243" t="s">
        <v>287</v>
      </c>
      <c r="C207" s="243" t="s">
        <v>258</v>
      </c>
      <c r="D207" s="243" t="s">
        <v>403</v>
      </c>
      <c r="E207" s="243" t="s">
        <v>404</v>
      </c>
      <c r="F207" s="243" t="s">
        <v>387</v>
      </c>
      <c r="G207" s="244" t="n">
        <v>157.1</v>
      </c>
      <c r="H207" s="244" t="n">
        <v>68.6</v>
      </c>
      <c r="I207" s="245" t="n">
        <v>1390</v>
      </c>
      <c r="J207" s="246" t="n">
        <f aca="false">G207*I207</f>
        <v>218369</v>
      </c>
      <c r="K207" s="246" t="n">
        <f aca="false">J207-H207*I207</f>
        <v>123015</v>
      </c>
      <c r="L207" s="247" t="n">
        <f aca="false">IF(J207&gt;0,K207/J207,0)</f>
        <v>0.563335455124125</v>
      </c>
    </row>
    <row r="208" customFormat="false" ht="15" hidden="false" customHeight="true" outlineLevel="0" collapsed="false">
      <c r="A208" s="238" t="s">
        <v>410</v>
      </c>
      <c r="B208" s="238" t="s">
        <v>287</v>
      </c>
      <c r="C208" s="238" t="s">
        <v>258</v>
      </c>
      <c r="D208" s="238" t="s">
        <v>403</v>
      </c>
      <c r="E208" s="238" t="s">
        <v>404</v>
      </c>
      <c r="F208" s="238" t="s">
        <v>388</v>
      </c>
      <c r="G208" s="239" t="n">
        <v>137.4</v>
      </c>
      <c r="H208" s="239" t="n">
        <v>52.5</v>
      </c>
      <c r="I208" s="240" t="n">
        <v>2699</v>
      </c>
      <c r="J208" s="241" t="n">
        <f aca="false">G208*I208</f>
        <v>370842.6</v>
      </c>
      <c r="K208" s="241" t="n">
        <f aca="false">J208-H208*I208</f>
        <v>229145.1</v>
      </c>
      <c r="L208" s="242" t="n">
        <f aca="false">IF(J208&gt;0,K208/J208,0)</f>
        <v>0.617903930131004</v>
      </c>
    </row>
    <row r="209" customFormat="false" ht="15" hidden="false" customHeight="true" outlineLevel="0" collapsed="false">
      <c r="A209" s="243" t="s">
        <v>410</v>
      </c>
      <c r="B209" s="243" t="s">
        <v>287</v>
      </c>
      <c r="C209" s="243" t="s">
        <v>258</v>
      </c>
      <c r="D209" s="243" t="s">
        <v>403</v>
      </c>
      <c r="E209" s="243" t="s">
        <v>406</v>
      </c>
      <c r="F209" s="243" t="s">
        <v>389</v>
      </c>
      <c r="G209" s="244" t="n">
        <v>108.2</v>
      </c>
      <c r="H209" s="244" t="n">
        <v>52.7</v>
      </c>
      <c r="I209" s="245" t="n">
        <v>508</v>
      </c>
      <c r="J209" s="246" t="n">
        <f aca="false">G209*I209</f>
        <v>54965.6</v>
      </c>
      <c r="K209" s="246" t="n">
        <f aca="false">J209-H209*I209</f>
        <v>28194</v>
      </c>
      <c r="L209" s="247" t="n">
        <f aca="false">IF(J209&gt;0,K209/J209,0)</f>
        <v>0.512939001848429</v>
      </c>
    </row>
    <row r="210" customFormat="false" ht="15" hidden="false" customHeight="true" outlineLevel="0" collapsed="false">
      <c r="A210" s="238" t="s">
        <v>410</v>
      </c>
      <c r="B210" s="238" t="s">
        <v>287</v>
      </c>
      <c r="C210" s="238" t="s">
        <v>258</v>
      </c>
      <c r="D210" s="238" t="s">
        <v>403</v>
      </c>
      <c r="E210" s="238" t="s">
        <v>404</v>
      </c>
      <c r="F210" s="238" t="s">
        <v>390</v>
      </c>
      <c r="G210" s="239" t="n">
        <v>176.6</v>
      </c>
      <c r="H210" s="239" t="n">
        <v>56.6</v>
      </c>
      <c r="I210" s="240" t="n">
        <v>2953</v>
      </c>
      <c r="J210" s="241" t="n">
        <f aca="false">G210*I210</f>
        <v>521499.8</v>
      </c>
      <c r="K210" s="241" t="n">
        <f aca="false">J210-H210*I210</f>
        <v>354360</v>
      </c>
      <c r="L210" s="242" t="n">
        <f aca="false">IF(J210&gt;0,K210/J210,0)</f>
        <v>0.679501698754247</v>
      </c>
    </row>
    <row r="211" customFormat="false" ht="15" hidden="false" customHeight="true" outlineLevel="0" collapsed="false">
      <c r="A211" s="243" t="s">
        <v>410</v>
      </c>
      <c r="B211" s="243" t="s">
        <v>287</v>
      </c>
      <c r="C211" s="243" t="s">
        <v>258</v>
      </c>
      <c r="D211" s="243" t="s">
        <v>403</v>
      </c>
      <c r="E211" s="243" t="s">
        <v>406</v>
      </c>
      <c r="F211" s="243" t="s">
        <v>391</v>
      </c>
      <c r="G211" s="244" t="n">
        <v>146.4</v>
      </c>
      <c r="H211" s="244" t="n">
        <v>58.5</v>
      </c>
      <c r="I211" s="245" t="n">
        <v>3114</v>
      </c>
      <c r="J211" s="246" t="n">
        <f aca="false">G211*I211</f>
        <v>455889.6</v>
      </c>
      <c r="K211" s="246" t="n">
        <f aca="false">J211-H211*I211</f>
        <v>273720.6</v>
      </c>
      <c r="L211" s="247" t="n">
        <f aca="false">IF(J211&gt;0,K211/J211,0)</f>
        <v>0.600409836065574</v>
      </c>
    </row>
    <row r="212" customFormat="false" ht="15" hidden="false" customHeight="true" outlineLevel="0" collapsed="false">
      <c r="A212" s="238" t="s">
        <v>410</v>
      </c>
      <c r="B212" s="238" t="s">
        <v>287</v>
      </c>
      <c r="C212" s="238" t="s">
        <v>258</v>
      </c>
      <c r="D212" s="238" t="s">
        <v>403</v>
      </c>
      <c r="E212" s="238" t="s">
        <v>404</v>
      </c>
      <c r="F212" s="238" t="s">
        <v>392</v>
      </c>
      <c r="G212" s="239" t="n">
        <v>174.3</v>
      </c>
      <c r="H212" s="239" t="n">
        <v>56.7</v>
      </c>
      <c r="I212" s="240" t="n">
        <v>1250</v>
      </c>
      <c r="J212" s="241" t="n">
        <f aca="false">G212*I212</f>
        <v>217875</v>
      </c>
      <c r="K212" s="241" t="n">
        <f aca="false">J212-H212*I212</f>
        <v>147000</v>
      </c>
      <c r="L212" s="242" t="n">
        <f aca="false">IF(J212&gt;0,K212/J212,0)</f>
        <v>0.674698795180723</v>
      </c>
    </row>
    <row r="213" customFormat="false" ht="15" hidden="false" customHeight="true" outlineLevel="0" collapsed="false">
      <c r="A213" s="243" t="s">
        <v>410</v>
      </c>
      <c r="B213" s="243" t="s">
        <v>287</v>
      </c>
      <c r="C213" s="243" t="s">
        <v>258</v>
      </c>
      <c r="D213" s="243" t="s">
        <v>403</v>
      </c>
      <c r="E213" s="243" t="s">
        <v>405</v>
      </c>
      <c r="F213" s="243" t="s">
        <v>393</v>
      </c>
      <c r="G213" s="244" t="n">
        <v>176.9</v>
      </c>
      <c r="H213" s="244" t="n">
        <v>57.4</v>
      </c>
      <c r="I213" s="245" t="n">
        <v>2067</v>
      </c>
      <c r="J213" s="246" t="n">
        <f aca="false">G213*I213</f>
        <v>365652.3</v>
      </c>
      <c r="K213" s="246" t="n">
        <f aca="false">J213-H213*I213</f>
        <v>247006.5</v>
      </c>
      <c r="L213" s="247" t="n">
        <f aca="false">IF(J213&gt;0,K213/J213,0)</f>
        <v>0.67552289429056</v>
      </c>
    </row>
    <row r="214" customFormat="false" ht="15" hidden="false" customHeight="true" outlineLevel="0" collapsed="false">
      <c r="A214" s="238" t="s">
        <v>410</v>
      </c>
      <c r="B214" s="238" t="s">
        <v>287</v>
      </c>
      <c r="C214" s="238" t="s">
        <v>258</v>
      </c>
      <c r="D214" s="238" t="s">
        <v>403</v>
      </c>
      <c r="E214" s="238" t="s">
        <v>406</v>
      </c>
      <c r="F214" s="238" t="s">
        <v>394</v>
      </c>
      <c r="G214" s="239" t="n">
        <v>144.8</v>
      </c>
      <c r="H214" s="239" t="n">
        <v>69</v>
      </c>
      <c r="I214" s="240" t="n">
        <v>2741</v>
      </c>
      <c r="J214" s="241" t="n">
        <f aca="false">G214*I214</f>
        <v>396896.8</v>
      </c>
      <c r="K214" s="241" t="n">
        <f aca="false">J214-H214*I214</f>
        <v>207767.8</v>
      </c>
      <c r="L214" s="242" t="n">
        <f aca="false">IF(J214&gt;0,K214/J214,0)</f>
        <v>0.523480662983425</v>
      </c>
    </row>
    <row r="215" customFormat="false" ht="15" hidden="false" customHeight="true" outlineLevel="0" collapsed="false">
      <c r="A215" s="243" t="s">
        <v>410</v>
      </c>
      <c r="B215" s="243" t="s">
        <v>287</v>
      </c>
      <c r="C215" s="243" t="s">
        <v>258</v>
      </c>
      <c r="D215" s="243" t="s">
        <v>403</v>
      </c>
      <c r="E215" s="243" t="s">
        <v>404</v>
      </c>
      <c r="F215" s="243" t="s">
        <v>395</v>
      </c>
      <c r="G215" s="244" t="n">
        <v>208.2</v>
      </c>
      <c r="H215" s="244" t="n">
        <v>60.6</v>
      </c>
      <c r="I215" s="245" t="n">
        <v>3115</v>
      </c>
      <c r="J215" s="246" t="n">
        <f aca="false">G215*I215</f>
        <v>648543</v>
      </c>
      <c r="K215" s="246" t="n">
        <f aca="false">J215-H215*I215</f>
        <v>459774</v>
      </c>
      <c r="L215" s="247" t="n">
        <f aca="false">IF(J215&gt;0,K215/J215,0)</f>
        <v>0.708933717579251</v>
      </c>
    </row>
    <row r="216" customFormat="false" ht="15" hidden="false" customHeight="true" outlineLevel="0" collapsed="false">
      <c r="A216" s="238" t="s">
        <v>410</v>
      </c>
      <c r="B216" s="238" t="s">
        <v>287</v>
      </c>
      <c r="C216" s="238" t="s">
        <v>258</v>
      </c>
      <c r="D216" s="238" t="s">
        <v>403</v>
      </c>
      <c r="E216" s="238" t="s">
        <v>406</v>
      </c>
      <c r="F216" s="238" t="s">
        <v>397</v>
      </c>
      <c r="G216" s="239" t="n">
        <v>223.1</v>
      </c>
      <c r="H216" s="239" t="n">
        <v>66.2</v>
      </c>
      <c r="I216" s="240" t="n">
        <v>2708</v>
      </c>
      <c r="J216" s="241" t="n">
        <f aca="false">G216*I216</f>
        <v>604154.8</v>
      </c>
      <c r="K216" s="241" t="n">
        <f aca="false">J216-H216*I216</f>
        <v>424885.2</v>
      </c>
      <c r="L216" s="242" t="n">
        <f aca="false">IF(J216&gt;0,K216/J216,0)</f>
        <v>0.703272075302555</v>
      </c>
    </row>
    <row r="217" customFormat="false" ht="15" hidden="false" customHeight="true" outlineLevel="0" collapsed="false">
      <c r="A217" s="243" t="s">
        <v>410</v>
      </c>
      <c r="B217" s="243" t="s">
        <v>287</v>
      </c>
      <c r="C217" s="243" t="s">
        <v>258</v>
      </c>
      <c r="D217" s="243" t="s">
        <v>403</v>
      </c>
      <c r="E217" s="243" t="s">
        <v>405</v>
      </c>
      <c r="F217" s="243" t="s">
        <v>398</v>
      </c>
      <c r="G217" s="244" t="n">
        <v>156.3</v>
      </c>
      <c r="H217" s="244" t="n">
        <v>68.7</v>
      </c>
      <c r="I217" s="245" t="n">
        <v>2672</v>
      </c>
      <c r="J217" s="246" t="n">
        <f aca="false">G217*I217</f>
        <v>417633.6</v>
      </c>
      <c r="K217" s="246" t="n">
        <f aca="false">J217-H217*I217</f>
        <v>234067.2</v>
      </c>
      <c r="L217" s="247" t="n">
        <f aca="false">IF(J217&gt;0,K217/J217,0)</f>
        <v>0.560460652591171</v>
      </c>
    </row>
    <row r="218" customFormat="false" ht="15" hidden="false" customHeight="true" outlineLevel="0" collapsed="false">
      <c r="A218" s="238" t="s">
        <v>411</v>
      </c>
      <c r="B218" s="238" t="s">
        <v>313</v>
      </c>
      <c r="C218" s="238" t="s">
        <v>258</v>
      </c>
      <c r="D218" s="238" t="s">
        <v>383</v>
      </c>
      <c r="E218" s="238" t="s">
        <v>384</v>
      </c>
      <c r="F218" s="238" t="s">
        <v>385</v>
      </c>
      <c r="G218" s="239" t="n">
        <v>10</v>
      </c>
      <c r="H218" s="239" t="n">
        <v>11.2</v>
      </c>
      <c r="I218" s="240" t="n">
        <v>5783</v>
      </c>
      <c r="J218" s="241" t="n">
        <f aca="false">G218*I218</f>
        <v>57830</v>
      </c>
      <c r="K218" s="241" t="n">
        <f aca="false">J218-H218*I218</f>
        <v>-6939.6</v>
      </c>
      <c r="L218" s="242" t="n">
        <f aca="false">IF(J218&gt;0,K218/J218,0)</f>
        <v>-0.12</v>
      </c>
    </row>
    <row r="219" customFormat="false" ht="15" hidden="false" customHeight="true" outlineLevel="0" collapsed="false">
      <c r="A219" s="243" t="s">
        <v>411</v>
      </c>
      <c r="B219" s="243" t="s">
        <v>313</v>
      </c>
      <c r="C219" s="243" t="s">
        <v>258</v>
      </c>
      <c r="D219" s="243" t="s">
        <v>383</v>
      </c>
      <c r="E219" s="243" t="s">
        <v>396</v>
      </c>
      <c r="F219" s="243" t="s">
        <v>387</v>
      </c>
      <c r="G219" s="244" t="n">
        <v>10</v>
      </c>
      <c r="H219" s="244" t="n">
        <v>12.4</v>
      </c>
      <c r="I219" s="245" t="n">
        <v>3160</v>
      </c>
      <c r="J219" s="246" t="n">
        <f aca="false">G219*I219</f>
        <v>31600</v>
      </c>
      <c r="K219" s="246" t="n">
        <f aca="false">J219-H219*I219</f>
        <v>-7584</v>
      </c>
      <c r="L219" s="247" t="n">
        <f aca="false">IF(J219&gt;0,K219/J219,0)</f>
        <v>-0.24</v>
      </c>
    </row>
    <row r="220" customFormat="false" ht="15" hidden="false" customHeight="true" outlineLevel="0" collapsed="false">
      <c r="A220" s="238" t="s">
        <v>411</v>
      </c>
      <c r="B220" s="238" t="s">
        <v>313</v>
      </c>
      <c r="C220" s="238" t="s">
        <v>258</v>
      </c>
      <c r="D220" s="238" t="s">
        <v>383</v>
      </c>
      <c r="E220" s="238" t="s">
        <v>386</v>
      </c>
      <c r="F220" s="238" t="s">
        <v>388</v>
      </c>
      <c r="G220" s="239" t="n">
        <v>10</v>
      </c>
      <c r="H220" s="239" t="n">
        <v>11.8</v>
      </c>
      <c r="I220" s="240" t="n">
        <v>6443</v>
      </c>
      <c r="J220" s="241" t="n">
        <f aca="false">G220*I220</f>
        <v>64430</v>
      </c>
      <c r="K220" s="241" t="n">
        <f aca="false">J220-H220*I220</f>
        <v>-11597.4</v>
      </c>
      <c r="L220" s="242" t="n">
        <f aca="false">IF(J220&gt;0,K220/J220,0)</f>
        <v>-0.18</v>
      </c>
    </row>
    <row r="221" customFormat="false" ht="15" hidden="false" customHeight="true" outlineLevel="0" collapsed="false">
      <c r="A221" s="243" t="s">
        <v>411</v>
      </c>
      <c r="B221" s="243" t="s">
        <v>313</v>
      </c>
      <c r="C221" s="243" t="s">
        <v>258</v>
      </c>
      <c r="D221" s="243" t="s">
        <v>383</v>
      </c>
      <c r="E221" s="243" t="s">
        <v>384</v>
      </c>
      <c r="F221" s="243" t="s">
        <v>389</v>
      </c>
      <c r="G221" s="244" t="n">
        <v>10</v>
      </c>
      <c r="H221" s="244" t="n">
        <v>10.3</v>
      </c>
      <c r="I221" s="245" t="n">
        <v>2220</v>
      </c>
      <c r="J221" s="246" t="n">
        <f aca="false">G221*I221</f>
        <v>22200</v>
      </c>
      <c r="K221" s="246" t="n">
        <f aca="false">J221-H221*I221</f>
        <v>-666</v>
      </c>
      <c r="L221" s="247" t="n">
        <f aca="false">IF(J221&gt;0,K221/J221,0)</f>
        <v>-0.03</v>
      </c>
    </row>
    <row r="222" customFormat="false" ht="15" hidden="false" customHeight="true" outlineLevel="0" collapsed="false">
      <c r="A222" s="238" t="s">
        <v>411</v>
      </c>
      <c r="B222" s="238" t="s">
        <v>313</v>
      </c>
      <c r="C222" s="238" t="s">
        <v>258</v>
      </c>
      <c r="D222" s="238" t="s">
        <v>383</v>
      </c>
      <c r="E222" s="238" t="s">
        <v>384</v>
      </c>
      <c r="F222" s="238" t="s">
        <v>390</v>
      </c>
      <c r="G222" s="239" t="n">
        <v>10</v>
      </c>
      <c r="H222" s="239" t="n">
        <v>11</v>
      </c>
      <c r="I222" s="240" t="n">
        <v>1266</v>
      </c>
      <c r="J222" s="241" t="n">
        <f aca="false">G222*I222</f>
        <v>12660</v>
      </c>
      <c r="K222" s="241" t="n">
        <f aca="false">J222-H222*I222</f>
        <v>-1266</v>
      </c>
      <c r="L222" s="242" t="n">
        <f aca="false">IF(J222&gt;0,K222/J222,0)</f>
        <v>-0.1</v>
      </c>
    </row>
    <row r="223" customFormat="false" ht="15" hidden="false" customHeight="true" outlineLevel="0" collapsed="false">
      <c r="A223" s="243" t="s">
        <v>411</v>
      </c>
      <c r="B223" s="243" t="s">
        <v>313</v>
      </c>
      <c r="C223" s="243" t="s">
        <v>258</v>
      </c>
      <c r="D223" s="243" t="s">
        <v>383</v>
      </c>
      <c r="E223" s="243" t="s">
        <v>384</v>
      </c>
      <c r="F223" s="243" t="s">
        <v>391</v>
      </c>
      <c r="G223" s="244" t="n">
        <v>10</v>
      </c>
      <c r="H223" s="244" t="n">
        <v>11.9</v>
      </c>
      <c r="I223" s="245" t="n">
        <v>4721</v>
      </c>
      <c r="J223" s="246" t="n">
        <f aca="false">G223*I223</f>
        <v>47210</v>
      </c>
      <c r="K223" s="246" t="n">
        <f aca="false">J223-H223*I223</f>
        <v>-8969.9</v>
      </c>
      <c r="L223" s="247" t="n">
        <f aca="false">IF(J223&gt;0,K223/J223,0)</f>
        <v>-0.19</v>
      </c>
    </row>
    <row r="224" customFormat="false" ht="15" hidden="false" customHeight="true" outlineLevel="0" collapsed="false">
      <c r="A224" s="238" t="s">
        <v>411</v>
      </c>
      <c r="B224" s="238" t="s">
        <v>313</v>
      </c>
      <c r="C224" s="238" t="s">
        <v>258</v>
      </c>
      <c r="D224" s="238" t="s">
        <v>383</v>
      </c>
      <c r="E224" s="238" t="s">
        <v>384</v>
      </c>
      <c r="F224" s="238" t="s">
        <v>392</v>
      </c>
      <c r="G224" s="239" t="n">
        <v>10</v>
      </c>
      <c r="H224" s="239" t="n">
        <v>13.9</v>
      </c>
      <c r="I224" s="240" t="n">
        <v>7161</v>
      </c>
      <c r="J224" s="241" t="n">
        <f aca="false">G224*I224</f>
        <v>71610</v>
      </c>
      <c r="K224" s="241" t="n">
        <f aca="false">J224-H224*I224</f>
        <v>-27927.9</v>
      </c>
      <c r="L224" s="242" t="n">
        <f aca="false">IF(J224&gt;0,K224/J224,0)</f>
        <v>-0.39</v>
      </c>
    </row>
    <row r="225" customFormat="false" ht="15" hidden="false" customHeight="true" outlineLevel="0" collapsed="false">
      <c r="A225" s="243" t="s">
        <v>411</v>
      </c>
      <c r="B225" s="243" t="s">
        <v>313</v>
      </c>
      <c r="C225" s="243" t="s">
        <v>258</v>
      </c>
      <c r="D225" s="243" t="s">
        <v>383</v>
      </c>
      <c r="E225" s="243" t="s">
        <v>384</v>
      </c>
      <c r="F225" s="243" t="s">
        <v>393</v>
      </c>
      <c r="G225" s="244" t="n">
        <v>10</v>
      </c>
      <c r="H225" s="244" t="n">
        <v>11.1</v>
      </c>
      <c r="I225" s="245" t="n">
        <v>1405</v>
      </c>
      <c r="J225" s="246" t="n">
        <f aca="false">G225*I225</f>
        <v>14050</v>
      </c>
      <c r="K225" s="246" t="n">
        <f aca="false">J225-H225*I225</f>
        <v>-1545.5</v>
      </c>
      <c r="L225" s="247" t="n">
        <f aca="false">IF(J225&gt;0,K225/J225,0)</f>
        <v>-0.11</v>
      </c>
    </row>
    <row r="226" customFormat="false" ht="15" hidden="false" customHeight="true" outlineLevel="0" collapsed="false">
      <c r="A226" s="238" t="s">
        <v>411</v>
      </c>
      <c r="B226" s="238" t="s">
        <v>313</v>
      </c>
      <c r="C226" s="238" t="s">
        <v>258</v>
      </c>
      <c r="D226" s="238" t="s">
        <v>383</v>
      </c>
      <c r="E226" s="238" t="s">
        <v>396</v>
      </c>
      <c r="F226" s="238" t="s">
        <v>394</v>
      </c>
      <c r="G226" s="239" t="n">
        <v>10</v>
      </c>
      <c r="H226" s="239" t="n">
        <v>11.7</v>
      </c>
      <c r="I226" s="240" t="n">
        <v>7916</v>
      </c>
      <c r="J226" s="241" t="n">
        <f aca="false">G226*I226</f>
        <v>79160</v>
      </c>
      <c r="K226" s="241" t="n">
        <f aca="false">J226-H226*I226</f>
        <v>-13457.2</v>
      </c>
      <c r="L226" s="242" t="n">
        <f aca="false">IF(J226&gt;0,K226/J226,0)</f>
        <v>-0.17</v>
      </c>
    </row>
    <row r="227" customFormat="false" ht="15" hidden="false" customHeight="true" outlineLevel="0" collapsed="false">
      <c r="A227" s="243" t="s">
        <v>411</v>
      </c>
      <c r="B227" s="243" t="s">
        <v>313</v>
      </c>
      <c r="C227" s="243" t="s">
        <v>258</v>
      </c>
      <c r="D227" s="243" t="s">
        <v>383</v>
      </c>
      <c r="E227" s="243" t="s">
        <v>396</v>
      </c>
      <c r="F227" s="243" t="s">
        <v>395</v>
      </c>
      <c r="G227" s="244" t="n">
        <v>10</v>
      </c>
      <c r="H227" s="244" t="n">
        <v>10.7</v>
      </c>
      <c r="I227" s="245" t="n">
        <v>1757</v>
      </c>
      <c r="J227" s="246" t="n">
        <f aca="false">G227*I227</f>
        <v>17570</v>
      </c>
      <c r="K227" s="246" t="n">
        <f aca="false">J227-H227*I227</f>
        <v>-1229.9</v>
      </c>
      <c r="L227" s="247" t="n">
        <f aca="false">IF(J227&gt;0,K227/J227,0)</f>
        <v>-0.0699999999999999</v>
      </c>
    </row>
    <row r="228" customFormat="false" ht="15" hidden="false" customHeight="true" outlineLevel="0" collapsed="false">
      <c r="A228" s="238" t="s">
        <v>411</v>
      </c>
      <c r="B228" s="238" t="s">
        <v>313</v>
      </c>
      <c r="C228" s="238" t="s">
        <v>258</v>
      </c>
      <c r="D228" s="238" t="s">
        <v>383</v>
      </c>
      <c r="E228" s="238" t="s">
        <v>386</v>
      </c>
      <c r="F228" s="238" t="s">
        <v>397</v>
      </c>
      <c r="G228" s="239" t="n">
        <v>10</v>
      </c>
      <c r="H228" s="239" t="n">
        <v>12.5</v>
      </c>
      <c r="I228" s="240" t="n">
        <v>5653</v>
      </c>
      <c r="J228" s="241" t="n">
        <f aca="false">G228*I228</f>
        <v>56530</v>
      </c>
      <c r="K228" s="241" t="n">
        <f aca="false">J228-H228*I228</f>
        <v>-14132.5</v>
      </c>
      <c r="L228" s="242" t="n">
        <f aca="false">IF(J228&gt;0,K228/J228,0)</f>
        <v>-0.25</v>
      </c>
    </row>
    <row r="229" customFormat="false" ht="15" hidden="false" customHeight="true" outlineLevel="0" collapsed="false">
      <c r="A229" s="243" t="s">
        <v>411</v>
      </c>
      <c r="B229" s="243" t="s">
        <v>313</v>
      </c>
      <c r="C229" s="243" t="s">
        <v>258</v>
      </c>
      <c r="D229" s="243" t="s">
        <v>383</v>
      </c>
      <c r="E229" s="243" t="s">
        <v>384</v>
      </c>
      <c r="F229" s="243" t="s">
        <v>398</v>
      </c>
      <c r="G229" s="244" t="n">
        <v>10</v>
      </c>
      <c r="H229" s="244" t="n">
        <v>12.2</v>
      </c>
      <c r="I229" s="245" t="n">
        <v>6371</v>
      </c>
      <c r="J229" s="246" t="n">
        <f aca="false">G229*I229</f>
        <v>63710</v>
      </c>
      <c r="K229" s="246" t="n">
        <f aca="false">J229-H229*I229</f>
        <v>-14016.2</v>
      </c>
      <c r="L229" s="247" t="n">
        <f aca="false">IF(J229&gt;0,K229/J229,0)</f>
        <v>-0.22</v>
      </c>
    </row>
    <row r="230" customFormat="false" ht="15" hidden="false" customHeight="true" outlineLevel="0" collapsed="false">
      <c r="A230" s="238" t="s">
        <v>411</v>
      </c>
      <c r="B230" s="238" t="s">
        <v>313</v>
      </c>
      <c r="C230" s="238" t="s">
        <v>258</v>
      </c>
      <c r="D230" s="238" t="s">
        <v>399</v>
      </c>
      <c r="E230" s="238" t="s">
        <v>401</v>
      </c>
      <c r="F230" s="238" t="s">
        <v>385</v>
      </c>
      <c r="G230" s="239" t="n">
        <v>10</v>
      </c>
      <c r="H230" s="239" t="n">
        <v>13.1</v>
      </c>
      <c r="I230" s="240" t="n">
        <v>1822</v>
      </c>
      <c r="J230" s="241" t="n">
        <f aca="false">G230*I230</f>
        <v>18220</v>
      </c>
      <c r="K230" s="241" t="n">
        <f aca="false">J230-H230*I230</f>
        <v>-5648.2</v>
      </c>
      <c r="L230" s="242" t="n">
        <f aca="false">IF(J230&gt;0,K230/J230,0)</f>
        <v>-0.31</v>
      </c>
    </row>
    <row r="231" customFormat="false" ht="15" hidden="false" customHeight="true" outlineLevel="0" collapsed="false">
      <c r="A231" s="243" t="s">
        <v>411</v>
      </c>
      <c r="B231" s="243" t="s">
        <v>313</v>
      </c>
      <c r="C231" s="243" t="s">
        <v>258</v>
      </c>
      <c r="D231" s="243" t="s">
        <v>399</v>
      </c>
      <c r="E231" s="243" t="s">
        <v>400</v>
      </c>
      <c r="F231" s="243" t="s">
        <v>387</v>
      </c>
      <c r="G231" s="244" t="n">
        <v>10</v>
      </c>
      <c r="H231" s="244" t="n">
        <v>12.3</v>
      </c>
      <c r="I231" s="245" t="n">
        <v>2178</v>
      </c>
      <c r="J231" s="246" t="n">
        <f aca="false">G231*I231</f>
        <v>21780</v>
      </c>
      <c r="K231" s="246" t="n">
        <f aca="false">J231-H231*I231</f>
        <v>-5009.4</v>
      </c>
      <c r="L231" s="247" t="n">
        <f aca="false">IF(J231&gt;0,K231/J231,0)</f>
        <v>-0.23</v>
      </c>
    </row>
    <row r="232" customFormat="false" ht="15" hidden="false" customHeight="true" outlineLevel="0" collapsed="false">
      <c r="A232" s="238" t="s">
        <v>411</v>
      </c>
      <c r="B232" s="238" t="s">
        <v>313</v>
      </c>
      <c r="C232" s="238" t="s">
        <v>258</v>
      </c>
      <c r="D232" s="238" t="s">
        <v>399</v>
      </c>
      <c r="E232" s="238" t="s">
        <v>402</v>
      </c>
      <c r="F232" s="238" t="s">
        <v>388</v>
      </c>
      <c r="G232" s="239" t="n">
        <v>10</v>
      </c>
      <c r="H232" s="239" t="n">
        <v>11</v>
      </c>
      <c r="I232" s="240" t="n">
        <v>2477</v>
      </c>
      <c r="J232" s="241" t="n">
        <f aca="false">G232*I232</f>
        <v>24770</v>
      </c>
      <c r="K232" s="241" t="n">
        <f aca="false">J232-H232*I232</f>
        <v>-2477</v>
      </c>
      <c r="L232" s="242" t="n">
        <f aca="false">IF(J232&gt;0,K232/J232,0)</f>
        <v>-0.1</v>
      </c>
    </row>
    <row r="233" customFormat="false" ht="15" hidden="false" customHeight="true" outlineLevel="0" collapsed="false">
      <c r="A233" s="243" t="s">
        <v>411</v>
      </c>
      <c r="B233" s="243" t="s">
        <v>313</v>
      </c>
      <c r="C233" s="243" t="s">
        <v>258</v>
      </c>
      <c r="D233" s="243" t="s">
        <v>399</v>
      </c>
      <c r="E233" s="243" t="s">
        <v>400</v>
      </c>
      <c r="F233" s="243" t="s">
        <v>389</v>
      </c>
      <c r="G233" s="244" t="n">
        <v>10</v>
      </c>
      <c r="H233" s="244" t="n">
        <v>11</v>
      </c>
      <c r="I233" s="245" t="n">
        <v>1189</v>
      </c>
      <c r="J233" s="246" t="n">
        <f aca="false">G233*I233</f>
        <v>11890</v>
      </c>
      <c r="K233" s="246" t="n">
        <f aca="false">J233-H233*I233</f>
        <v>-1189</v>
      </c>
      <c r="L233" s="247" t="n">
        <f aca="false">IF(J233&gt;0,K233/J233,0)</f>
        <v>-0.1</v>
      </c>
    </row>
    <row r="234" customFormat="false" ht="15" hidden="false" customHeight="true" outlineLevel="0" collapsed="false">
      <c r="A234" s="238" t="s">
        <v>411</v>
      </c>
      <c r="B234" s="238" t="s">
        <v>313</v>
      </c>
      <c r="C234" s="238" t="s">
        <v>258</v>
      </c>
      <c r="D234" s="238" t="s">
        <v>399</v>
      </c>
      <c r="E234" s="238" t="s">
        <v>401</v>
      </c>
      <c r="F234" s="238" t="s">
        <v>390</v>
      </c>
      <c r="G234" s="239" t="n">
        <v>10</v>
      </c>
      <c r="H234" s="239" t="n">
        <v>10.8</v>
      </c>
      <c r="I234" s="240" t="n">
        <v>791</v>
      </c>
      <c r="J234" s="241" t="n">
        <f aca="false">G234*I234</f>
        <v>7910</v>
      </c>
      <c r="K234" s="241" t="n">
        <f aca="false">J234-H234*I234</f>
        <v>-632.800000000001</v>
      </c>
      <c r="L234" s="242" t="n">
        <f aca="false">IF(J234&gt;0,K234/J234,0)</f>
        <v>-0.0800000000000001</v>
      </c>
    </row>
    <row r="235" customFormat="false" ht="15" hidden="false" customHeight="true" outlineLevel="0" collapsed="false">
      <c r="A235" s="243" t="s">
        <v>411</v>
      </c>
      <c r="B235" s="243" t="s">
        <v>313</v>
      </c>
      <c r="C235" s="243" t="s">
        <v>258</v>
      </c>
      <c r="D235" s="243" t="s">
        <v>399</v>
      </c>
      <c r="E235" s="243" t="s">
        <v>402</v>
      </c>
      <c r="F235" s="243" t="s">
        <v>391</v>
      </c>
      <c r="G235" s="244" t="n">
        <v>10</v>
      </c>
      <c r="H235" s="244" t="n">
        <v>14</v>
      </c>
      <c r="I235" s="245" t="n">
        <v>2782</v>
      </c>
      <c r="J235" s="246" t="n">
        <f aca="false">G235*I235</f>
        <v>27820</v>
      </c>
      <c r="K235" s="246" t="n">
        <f aca="false">J235-H235*I235</f>
        <v>-11128</v>
      </c>
      <c r="L235" s="247" t="n">
        <f aca="false">IF(J235&gt;0,K235/J235,0)</f>
        <v>-0.4</v>
      </c>
    </row>
    <row r="236" customFormat="false" ht="15" hidden="false" customHeight="true" outlineLevel="0" collapsed="false">
      <c r="A236" s="238" t="s">
        <v>411</v>
      </c>
      <c r="B236" s="238" t="s">
        <v>313</v>
      </c>
      <c r="C236" s="238" t="s">
        <v>258</v>
      </c>
      <c r="D236" s="238" t="s">
        <v>399</v>
      </c>
      <c r="E236" s="238" t="s">
        <v>401</v>
      </c>
      <c r="F236" s="238" t="s">
        <v>392</v>
      </c>
      <c r="G236" s="239" t="n">
        <v>10</v>
      </c>
      <c r="H236" s="239" t="n">
        <v>12.6</v>
      </c>
      <c r="I236" s="240" t="n">
        <v>952</v>
      </c>
      <c r="J236" s="241" t="n">
        <f aca="false">G236*I236</f>
        <v>9520</v>
      </c>
      <c r="K236" s="241" t="n">
        <f aca="false">J236-H236*I236</f>
        <v>-2475.2</v>
      </c>
      <c r="L236" s="242" t="n">
        <f aca="false">IF(J236&gt;0,K236/J236,0)</f>
        <v>-0.26</v>
      </c>
    </row>
    <row r="237" customFormat="false" ht="15" hidden="false" customHeight="true" outlineLevel="0" collapsed="false">
      <c r="A237" s="243" t="s">
        <v>411</v>
      </c>
      <c r="B237" s="243" t="s">
        <v>313</v>
      </c>
      <c r="C237" s="243" t="s">
        <v>258</v>
      </c>
      <c r="D237" s="243" t="s">
        <v>399</v>
      </c>
      <c r="E237" s="243" t="s">
        <v>401</v>
      </c>
      <c r="F237" s="243" t="s">
        <v>393</v>
      </c>
      <c r="G237" s="244" t="n">
        <v>10</v>
      </c>
      <c r="H237" s="244" t="n">
        <v>14</v>
      </c>
      <c r="I237" s="245" t="n">
        <v>960</v>
      </c>
      <c r="J237" s="246" t="n">
        <f aca="false">G237*I237</f>
        <v>9600</v>
      </c>
      <c r="K237" s="246" t="n">
        <f aca="false">J237-H237*I237</f>
        <v>-3840</v>
      </c>
      <c r="L237" s="247" t="n">
        <f aca="false">IF(J237&gt;0,K237/J237,0)</f>
        <v>-0.4</v>
      </c>
    </row>
    <row r="238" customFormat="false" ht="15" hidden="false" customHeight="true" outlineLevel="0" collapsed="false">
      <c r="A238" s="238" t="s">
        <v>411</v>
      </c>
      <c r="B238" s="238" t="s">
        <v>313</v>
      </c>
      <c r="C238" s="238" t="s">
        <v>258</v>
      </c>
      <c r="D238" s="238" t="s">
        <v>399</v>
      </c>
      <c r="E238" s="238" t="s">
        <v>401</v>
      </c>
      <c r="F238" s="238" t="s">
        <v>394</v>
      </c>
      <c r="G238" s="239" t="n">
        <v>10</v>
      </c>
      <c r="H238" s="239" t="n">
        <v>13.5</v>
      </c>
      <c r="I238" s="240" t="n">
        <v>1540</v>
      </c>
      <c r="J238" s="241" t="n">
        <f aca="false">G238*I238</f>
        <v>15400</v>
      </c>
      <c r="K238" s="241" t="n">
        <f aca="false">J238-H238*I238</f>
        <v>-5390</v>
      </c>
      <c r="L238" s="242" t="n">
        <f aca="false">IF(J238&gt;0,K238/J238,0)</f>
        <v>-0.35</v>
      </c>
    </row>
    <row r="239" customFormat="false" ht="15" hidden="false" customHeight="true" outlineLevel="0" collapsed="false">
      <c r="A239" s="243" t="s">
        <v>411</v>
      </c>
      <c r="B239" s="243" t="s">
        <v>313</v>
      </c>
      <c r="C239" s="243" t="s">
        <v>258</v>
      </c>
      <c r="D239" s="243" t="s">
        <v>399</v>
      </c>
      <c r="E239" s="243" t="s">
        <v>401</v>
      </c>
      <c r="F239" s="243" t="s">
        <v>395</v>
      </c>
      <c r="G239" s="244" t="n">
        <v>10</v>
      </c>
      <c r="H239" s="244" t="n">
        <v>13.7</v>
      </c>
      <c r="I239" s="245" t="n">
        <v>681</v>
      </c>
      <c r="J239" s="246" t="n">
        <f aca="false">G239*I239</f>
        <v>6810</v>
      </c>
      <c r="K239" s="246" t="n">
        <f aca="false">J239-H239*I239</f>
        <v>-2519.7</v>
      </c>
      <c r="L239" s="247" t="n">
        <f aca="false">IF(J239&gt;0,K239/J239,0)</f>
        <v>-0.37</v>
      </c>
    </row>
    <row r="240" customFormat="false" ht="15" hidden="false" customHeight="true" outlineLevel="0" collapsed="false">
      <c r="A240" s="238" t="s">
        <v>411</v>
      </c>
      <c r="B240" s="238" t="s">
        <v>313</v>
      </c>
      <c r="C240" s="238" t="s">
        <v>258</v>
      </c>
      <c r="D240" s="238" t="s">
        <v>399</v>
      </c>
      <c r="E240" s="238" t="s">
        <v>400</v>
      </c>
      <c r="F240" s="238" t="s">
        <v>397</v>
      </c>
      <c r="G240" s="239" t="n">
        <v>10</v>
      </c>
      <c r="H240" s="239" t="n">
        <v>10.9</v>
      </c>
      <c r="I240" s="240" t="n">
        <v>726</v>
      </c>
      <c r="J240" s="241" t="n">
        <f aca="false">G240*I240</f>
        <v>7260</v>
      </c>
      <c r="K240" s="241" t="n">
        <f aca="false">J240-H240*I240</f>
        <v>-653.400000000001</v>
      </c>
      <c r="L240" s="242" t="n">
        <f aca="false">IF(J240&gt;0,K240/J240,0)</f>
        <v>-0.0900000000000001</v>
      </c>
    </row>
    <row r="241" customFormat="false" ht="15" hidden="false" customHeight="true" outlineLevel="0" collapsed="false">
      <c r="A241" s="243" t="s">
        <v>411</v>
      </c>
      <c r="B241" s="243" t="s">
        <v>313</v>
      </c>
      <c r="C241" s="243" t="s">
        <v>258</v>
      </c>
      <c r="D241" s="243" t="s">
        <v>399</v>
      </c>
      <c r="E241" s="243" t="s">
        <v>402</v>
      </c>
      <c r="F241" s="243" t="s">
        <v>398</v>
      </c>
      <c r="G241" s="244" t="n">
        <v>10</v>
      </c>
      <c r="H241" s="244" t="n">
        <v>13.9</v>
      </c>
      <c r="I241" s="245" t="n">
        <v>3124</v>
      </c>
      <c r="J241" s="246" t="n">
        <f aca="false">G241*I241</f>
        <v>31240</v>
      </c>
      <c r="K241" s="246" t="n">
        <f aca="false">J241-H241*I241</f>
        <v>-12183.6</v>
      </c>
      <c r="L241" s="247" t="n">
        <f aca="false">IF(J241&gt;0,K241/J241,0)</f>
        <v>-0.39</v>
      </c>
    </row>
    <row r="242" customFormat="false" ht="15" hidden="false" customHeight="true" outlineLevel="0" collapsed="false">
      <c r="A242" s="238" t="s">
        <v>411</v>
      </c>
      <c r="B242" s="238" t="s">
        <v>313</v>
      </c>
      <c r="C242" s="238" t="s">
        <v>258</v>
      </c>
      <c r="D242" s="238" t="s">
        <v>403</v>
      </c>
      <c r="E242" s="238" t="s">
        <v>404</v>
      </c>
      <c r="F242" s="238" t="s">
        <v>385</v>
      </c>
      <c r="G242" s="239" t="n">
        <v>10</v>
      </c>
      <c r="H242" s="239" t="n">
        <v>11.5</v>
      </c>
      <c r="I242" s="240" t="n">
        <v>2858</v>
      </c>
      <c r="J242" s="241" t="n">
        <f aca="false">G242*I242</f>
        <v>28580</v>
      </c>
      <c r="K242" s="241" t="n">
        <f aca="false">J242-H242*I242</f>
        <v>-4287</v>
      </c>
      <c r="L242" s="242" t="n">
        <f aca="false">IF(J242&gt;0,K242/J242,0)</f>
        <v>-0.15</v>
      </c>
    </row>
    <row r="243" customFormat="false" ht="15" hidden="false" customHeight="true" outlineLevel="0" collapsed="false">
      <c r="A243" s="243" t="s">
        <v>411</v>
      </c>
      <c r="B243" s="243" t="s">
        <v>313</v>
      </c>
      <c r="C243" s="243" t="s">
        <v>258</v>
      </c>
      <c r="D243" s="243" t="s">
        <v>403</v>
      </c>
      <c r="E243" s="243" t="s">
        <v>405</v>
      </c>
      <c r="F243" s="243" t="s">
        <v>387</v>
      </c>
      <c r="G243" s="244" t="n">
        <v>10</v>
      </c>
      <c r="H243" s="244" t="n">
        <v>12.4</v>
      </c>
      <c r="I243" s="245" t="n">
        <v>2591</v>
      </c>
      <c r="J243" s="246" t="n">
        <f aca="false">G243*I243</f>
        <v>25910</v>
      </c>
      <c r="K243" s="246" t="n">
        <f aca="false">J243-H243*I243</f>
        <v>-6218.4</v>
      </c>
      <c r="L243" s="247" t="n">
        <f aca="false">IF(J243&gt;0,K243/J243,0)</f>
        <v>-0.24</v>
      </c>
    </row>
    <row r="244" customFormat="false" ht="15" hidden="false" customHeight="true" outlineLevel="0" collapsed="false">
      <c r="A244" s="238" t="s">
        <v>411</v>
      </c>
      <c r="B244" s="238" t="s">
        <v>313</v>
      </c>
      <c r="C244" s="238" t="s">
        <v>258</v>
      </c>
      <c r="D244" s="238" t="s">
        <v>403</v>
      </c>
      <c r="E244" s="238" t="s">
        <v>405</v>
      </c>
      <c r="F244" s="238" t="s">
        <v>388</v>
      </c>
      <c r="G244" s="239" t="n">
        <v>10</v>
      </c>
      <c r="H244" s="239" t="n">
        <v>13.8</v>
      </c>
      <c r="I244" s="240" t="n">
        <v>634</v>
      </c>
      <c r="J244" s="241" t="n">
        <f aca="false">G244*I244</f>
        <v>6340</v>
      </c>
      <c r="K244" s="241" t="n">
        <f aca="false">J244-H244*I244</f>
        <v>-2409.2</v>
      </c>
      <c r="L244" s="242" t="n">
        <f aca="false">IF(J244&gt;0,K244/J244,0)</f>
        <v>-0.38</v>
      </c>
    </row>
    <row r="245" customFormat="false" ht="15" hidden="false" customHeight="true" outlineLevel="0" collapsed="false">
      <c r="A245" s="243" t="s">
        <v>411</v>
      </c>
      <c r="B245" s="243" t="s">
        <v>313</v>
      </c>
      <c r="C245" s="243" t="s">
        <v>258</v>
      </c>
      <c r="D245" s="243" t="s">
        <v>403</v>
      </c>
      <c r="E245" s="243" t="s">
        <v>406</v>
      </c>
      <c r="F245" s="243" t="s">
        <v>389</v>
      </c>
      <c r="G245" s="244" t="n">
        <v>10</v>
      </c>
      <c r="H245" s="244" t="n">
        <v>12.8</v>
      </c>
      <c r="I245" s="245" t="n">
        <v>1347</v>
      </c>
      <c r="J245" s="246" t="n">
        <f aca="false">G245*I245</f>
        <v>13470</v>
      </c>
      <c r="K245" s="246" t="n">
        <f aca="false">J245-H245*I245</f>
        <v>-3771.6</v>
      </c>
      <c r="L245" s="247" t="n">
        <f aca="false">IF(J245&gt;0,K245/J245,0)</f>
        <v>-0.28</v>
      </c>
    </row>
    <row r="246" customFormat="false" ht="15" hidden="false" customHeight="true" outlineLevel="0" collapsed="false">
      <c r="A246" s="238" t="s">
        <v>411</v>
      </c>
      <c r="B246" s="238" t="s">
        <v>313</v>
      </c>
      <c r="C246" s="238" t="s">
        <v>258</v>
      </c>
      <c r="D246" s="238" t="s">
        <v>403</v>
      </c>
      <c r="E246" s="238" t="s">
        <v>406</v>
      </c>
      <c r="F246" s="238" t="s">
        <v>390</v>
      </c>
      <c r="G246" s="239" t="n">
        <v>10</v>
      </c>
      <c r="H246" s="239" t="n">
        <v>11.5</v>
      </c>
      <c r="I246" s="240" t="n">
        <v>738</v>
      </c>
      <c r="J246" s="241" t="n">
        <f aca="false">G246*I246</f>
        <v>7380</v>
      </c>
      <c r="K246" s="241" t="n">
        <f aca="false">J246-H246*I246</f>
        <v>-1107</v>
      </c>
      <c r="L246" s="242" t="n">
        <f aca="false">IF(J246&gt;0,K246/J246,0)</f>
        <v>-0.15</v>
      </c>
    </row>
    <row r="247" customFormat="false" ht="15" hidden="false" customHeight="true" outlineLevel="0" collapsed="false">
      <c r="A247" s="243" t="s">
        <v>411</v>
      </c>
      <c r="B247" s="243" t="s">
        <v>313</v>
      </c>
      <c r="C247" s="243" t="s">
        <v>258</v>
      </c>
      <c r="D247" s="243" t="s">
        <v>403</v>
      </c>
      <c r="E247" s="243" t="s">
        <v>405</v>
      </c>
      <c r="F247" s="243" t="s">
        <v>391</v>
      </c>
      <c r="G247" s="244" t="n">
        <v>10</v>
      </c>
      <c r="H247" s="244" t="n">
        <v>14</v>
      </c>
      <c r="I247" s="245" t="n">
        <v>436</v>
      </c>
      <c r="J247" s="246" t="n">
        <f aca="false">G247*I247</f>
        <v>4360</v>
      </c>
      <c r="K247" s="246" t="n">
        <f aca="false">J247-H247*I247</f>
        <v>-1744</v>
      </c>
      <c r="L247" s="247" t="n">
        <f aca="false">IF(J247&gt;0,K247/J247,0)</f>
        <v>-0.4</v>
      </c>
    </row>
    <row r="248" customFormat="false" ht="15" hidden="false" customHeight="true" outlineLevel="0" collapsed="false">
      <c r="A248" s="238" t="s">
        <v>411</v>
      </c>
      <c r="B248" s="238" t="s">
        <v>313</v>
      </c>
      <c r="C248" s="238" t="s">
        <v>258</v>
      </c>
      <c r="D248" s="238" t="s">
        <v>403</v>
      </c>
      <c r="E248" s="238" t="s">
        <v>406</v>
      </c>
      <c r="F248" s="238" t="s">
        <v>392</v>
      </c>
      <c r="G248" s="239" t="n">
        <v>10</v>
      </c>
      <c r="H248" s="239" t="n">
        <v>12.6</v>
      </c>
      <c r="I248" s="240" t="n">
        <v>920</v>
      </c>
      <c r="J248" s="241" t="n">
        <f aca="false">G248*I248</f>
        <v>9200</v>
      </c>
      <c r="K248" s="241" t="n">
        <f aca="false">J248-H248*I248</f>
        <v>-2392</v>
      </c>
      <c r="L248" s="242" t="n">
        <f aca="false">IF(J248&gt;0,K248/J248,0)</f>
        <v>-0.26</v>
      </c>
    </row>
    <row r="249" customFormat="false" ht="15" hidden="false" customHeight="true" outlineLevel="0" collapsed="false">
      <c r="A249" s="243" t="s">
        <v>411</v>
      </c>
      <c r="B249" s="243" t="s">
        <v>313</v>
      </c>
      <c r="C249" s="243" t="s">
        <v>258</v>
      </c>
      <c r="D249" s="243" t="s">
        <v>403</v>
      </c>
      <c r="E249" s="243" t="s">
        <v>404</v>
      </c>
      <c r="F249" s="243" t="s">
        <v>393</v>
      </c>
      <c r="G249" s="244" t="n">
        <v>10</v>
      </c>
      <c r="H249" s="244" t="n">
        <v>13.3</v>
      </c>
      <c r="I249" s="245" t="n">
        <v>1521</v>
      </c>
      <c r="J249" s="246" t="n">
        <f aca="false">G249*I249</f>
        <v>15210</v>
      </c>
      <c r="K249" s="246" t="n">
        <f aca="false">J249-H249*I249</f>
        <v>-5019.3</v>
      </c>
      <c r="L249" s="247" t="n">
        <f aca="false">IF(J249&gt;0,K249/J249,0)</f>
        <v>-0.33</v>
      </c>
    </row>
    <row r="250" customFormat="false" ht="15" hidden="false" customHeight="true" outlineLevel="0" collapsed="false">
      <c r="A250" s="238" t="s">
        <v>411</v>
      </c>
      <c r="B250" s="238" t="s">
        <v>313</v>
      </c>
      <c r="C250" s="238" t="s">
        <v>258</v>
      </c>
      <c r="D250" s="238" t="s">
        <v>403</v>
      </c>
      <c r="E250" s="238" t="s">
        <v>406</v>
      </c>
      <c r="F250" s="238" t="s">
        <v>394</v>
      </c>
      <c r="G250" s="239" t="n">
        <v>10</v>
      </c>
      <c r="H250" s="239" t="n">
        <v>10.7</v>
      </c>
      <c r="I250" s="240" t="n">
        <v>1238</v>
      </c>
      <c r="J250" s="241" t="n">
        <f aca="false">G250*I250</f>
        <v>12380</v>
      </c>
      <c r="K250" s="241" t="n">
        <f aca="false">J250-H250*I250</f>
        <v>-866.599999999999</v>
      </c>
      <c r="L250" s="242" t="n">
        <f aca="false">IF(J250&gt;0,K250/J250,0)</f>
        <v>-0.0699999999999999</v>
      </c>
    </row>
    <row r="251" customFormat="false" ht="15" hidden="false" customHeight="true" outlineLevel="0" collapsed="false">
      <c r="A251" s="243" t="s">
        <v>411</v>
      </c>
      <c r="B251" s="243" t="s">
        <v>313</v>
      </c>
      <c r="C251" s="243" t="s">
        <v>258</v>
      </c>
      <c r="D251" s="243" t="s">
        <v>403</v>
      </c>
      <c r="E251" s="243" t="s">
        <v>404</v>
      </c>
      <c r="F251" s="243" t="s">
        <v>395</v>
      </c>
      <c r="G251" s="244" t="n">
        <v>10</v>
      </c>
      <c r="H251" s="244" t="n">
        <v>10.1</v>
      </c>
      <c r="I251" s="245" t="n">
        <v>1774</v>
      </c>
      <c r="J251" s="246" t="n">
        <f aca="false">G251*I251</f>
        <v>17740</v>
      </c>
      <c r="K251" s="246" t="n">
        <f aca="false">J251-H251*I251</f>
        <v>-177.399999999998</v>
      </c>
      <c r="L251" s="247" t="n">
        <f aca="false">IF(J251&gt;0,K251/J251,0)</f>
        <v>-0.00999999999999988</v>
      </c>
    </row>
    <row r="252" customFormat="false" ht="15" hidden="false" customHeight="true" outlineLevel="0" collapsed="false">
      <c r="A252" s="238" t="s">
        <v>411</v>
      </c>
      <c r="B252" s="238" t="s">
        <v>313</v>
      </c>
      <c r="C252" s="238" t="s">
        <v>258</v>
      </c>
      <c r="D252" s="238" t="s">
        <v>403</v>
      </c>
      <c r="E252" s="238" t="s">
        <v>404</v>
      </c>
      <c r="F252" s="238" t="s">
        <v>397</v>
      </c>
      <c r="G252" s="239" t="n">
        <v>10</v>
      </c>
      <c r="H252" s="239" t="n">
        <v>10.3</v>
      </c>
      <c r="I252" s="240" t="n">
        <v>621</v>
      </c>
      <c r="J252" s="241" t="n">
        <f aca="false">G252*I252</f>
        <v>6210</v>
      </c>
      <c r="K252" s="241" t="n">
        <f aca="false">J252-H252*I252</f>
        <v>-186.3</v>
      </c>
      <c r="L252" s="242" t="n">
        <f aca="false">IF(J252&gt;0,K252/J252,0)</f>
        <v>-0.03</v>
      </c>
    </row>
    <row r="253" customFormat="false" ht="15" hidden="false" customHeight="true" outlineLevel="0" collapsed="false">
      <c r="A253" s="243" t="s">
        <v>411</v>
      </c>
      <c r="B253" s="243" t="s">
        <v>313</v>
      </c>
      <c r="C253" s="243" t="s">
        <v>258</v>
      </c>
      <c r="D253" s="243" t="s">
        <v>403</v>
      </c>
      <c r="E253" s="243" t="s">
        <v>405</v>
      </c>
      <c r="F253" s="243" t="s">
        <v>398</v>
      </c>
      <c r="G253" s="244" t="n">
        <v>10</v>
      </c>
      <c r="H253" s="244" t="n">
        <v>12.7</v>
      </c>
      <c r="I253" s="245" t="n">
        <v>777</v>
      </c>
      <c r="J253" s="246" t="n">
        <f aca="false">G253*I253</f>
        <v>7770</v>
      </c>
      <c r="K253" s="246" t="n">
        <f aca="false">J253-H253*I253</f>
        <v>-2097.9</v>
      </c>
      <c r="L253" s="247" t="n">
        <f aca="false">IF(J253&gt;0,K253/J253,0)</f>
        <v>-0.27</v>
      </c>
    </row>
    <row r="254" customFormat="false" ht="15" hidden="false" customHeight="true" outlineLevel="0" collapsed="false">
      <c r="A254" s="238" t="s">
        <v>412</v>
      </c>
      <c r="B254" s="238" t="s">
        <v>313</v>
      </c>
      <c r="C254" s="238" t="s">
        <v>258</v>
      </c>
      <c r="D254" s="238" t="s">
        <v>383</v>
      </c>
      <c r="E254" s="238" t="s">
        <v>386</v>
      </c>
      <c r="F254" s="238" t="s">
        <v>385</v>
      </c>
      <c r="G254" s="239" t="n">
        <v>15</v>
      </c>
      <c r="H254" s="239" t="n">
        <v>14.9</v>
      </c>
      <c r="I254" s="240" t="n">
        <v>1978</v>
      </c>
      <c r="J254" s="241" t="n">
        <f aca="false">G254*I254</f>
        <v>29670</v>
      </c>
      <c r="K254" s="241" t="n">
        <f aca="false">J254-H254*I254</f>
        <v>197.799999999999</v>
      </c>
      <c r="L254" s="242" t="n">
        <f aca="false">IF(J254&gt;0,K254/J254,0)</f>
        <v>0.00666666666666664</v>
      </c>
    </row>
    <row r="255" customFormat="false" ht="15" hidden="false" customHeight="true" outlineLevel="0" collapsed="false">
      <c r="A255" s="243" t="s">
        <v>412</v>
      </c>
      <c r="B255" s="243" t="s">
        <v>313</v>
      </c>
      <c r="C255" s="243" t="s">
        <v>258</v>
      </c>
      <c r="D255" s="243" t="s">
        <v>383</v>
      </c>
      <c r="E255" s="243" t="s">
        <v>386</v>
      </c>
      <c r="F255" s="243" t="s">
        <v>387</v>
      </c>
      <c r="G255" s="244" t="n">
        <v>15</v>
      </c>
      <c r="H255" s="244" t="n">
        <v>14.7</v>
      </c>
      <c r="I255" s="245" t="n">
        <v>7915</v>
      </c>
      <c r="J255" s="246" t="n">
        <f aca="false">G255*I255</f>
        <v>118725</v>
      </c>
      <c r="K255" s="246" t="n">
        <f aca="false">J255-H255*I255</f>
        <v>2374.5</v>
      </c>
      <c r="L255" s="247" t="n">
        <f aca="false">IF(J255&gt;0,K255/J255,0)</f>
        <v>0.02</v>
      </c>
    </row>
    <row r="256" customFormat="false" ht="15" hidden="false" customHeight="true" outlineLevel="0" collapsed="false">
      <c r="A256" s="238" t="s">
        <v>412</v>
      </c>
      <c r="B256" s="238" t="s">
        <v>313</v>
      </c>
      <c r="C256" s="238" t="s">
        <v>258</v>
      </c>
      <c r="D256" s="238" t="s">
        <v>383</v>
      </c>
      <c r="E256" s="238" t="s">
        <v>396</v>
      </c>
      <c r="F256" s="238" t="s">
        <v>388</v>
      </c>
      <c r="G256" s="239" t="n">
        <v>15</v>
      </c>
      <c r="H256" s="239" t="n">
        <v>14.7</v>
      </c>
      <c r="I256" s="240" t="n">
        <v>7662</v>
      </c>
      <c r="J256" s="241" t="n">
        <f aca="false">G256*I256</f>
        <v>114930</v>
      </c>
      <c r="K256" s="241" t="n">
        <f aca="false">J256-H256*I256</f>
        <v>2298.60000000001</v>
      </c>
      <c r="L256" s="242" t="n">
        <f aca="false">IF(J256&gt;0,K256/J256,0)</f>
        <v>0.0200000000000001</v>
      </c>
    </row>
    <row r="257" customFormat="false" ht="15" hidden="false" customHeight="true" outlineLevel="0" collapsed="false">
      <c r="A257" s="243" t="s">
        <v>412</v>
      </c>
      <c r="B257" s="243" t="s">
        <v>313</v>
      </c>
      <c r="C257" s="243" t="s">
        <v>258</v>
      </c>
      <c r="D257" s="243" t="s">
        <v>383</v>
      </c>
      <c r="E257" s="243" t="s">
        <v>396</v>
      </c>
      <c r="F257" s="243" t="s">
        <v>389</v>
      </c>
      <c r="G257" s="244" t="n">
        <v>15</v>
      </c>
      <c r="H257" s="244" t="n">
        <v>14.3</v>
      </c>
      <c r="I257" s="245" t="n">
        <v>7162</v>
      </c>
      <c r="J257" s="246" t="n">
        <f aca="false">G257*I257</f>
        <v>107430</v>
      </c>
      <c r="K257" s="246" t="n">
        <f aca="false">J257-H257*I257</f>
        <v>5013.39999999999</v>
      </c>
      <c r="L257" s="247" t="n">
        <f aca="false">IF(J257&gt;0,K257/J257,0)</f>
        <v>0.0466666666666666</v>
      </c>
    </row>
    <row r="258" customFormat="false" ht="15" hidden="false" customHeight="true" outlineLevel="0" collapsed="false">
      <c r="A258" s="238" t="s">
        <v>412</v>
      </c>
      <c r="B258" s="238" t="s">
        <v>313</v>
      </c>
      <c r="C258" s="238" t="s">
        <v>258</v>
      </c>
      <c r="D258" s="238" t="s">
        <v>383</v>
      </c>
      <c r="E258" s="238" t="s">
        <v>396</v>
      </c>
      <c r="F258" s="238" t="s">
        <v>390</v>
      </c>
      <c r="G258" s="239" t="n">
        <v>15</v>
      </c>
      <c r="H258" s="239" t="n">
        <v>14.6</v>
      </c>
      <c r="I258" s="240" t="n">
        <v>7022</v>
      </c>
      <c r="J258" s="241" t="n">
        <f aca="false">G258*I258</f>
        <v>105330</v>
      </c>
      <c r="K258" s="241" t="n">
        <f aca="false">J258-H258*I258</f>
        <v>2808.8</v>
      </c>
      <c r="L258" s="242" t="n">
        <f aca="false">IF(J258&gt;0,K258/J258,0)</f>
        <v>0.0266666666666667</v>
      </c>
    </row>
    <row r="259" customFormat="false" ht="15" hidden="false" customHeight="true" outlineLevel="0" collapsed="false">
      <c r="A259" s="243" t="s">
        <v>412</v>
      </c>
      <c r="B259" s="243" t="s">
        <v>313</v>
      </c>
      <c r="C259" s="243" t="s">
        <v>258</v>
      </c>
      <c r="D259" s="243" t="s">
        <v>383</v>
      </c>
      <c r="E259" s="243" t="s">
        <v>396</v>
      </c>
      <c r="F259" s="243" t="s">
        <v>391</v>
      </c>
      <c r="G259" s="244" t="n">
        <v>15</v>
      </c>
      <c r="H259" s="244" t="n">
        <v>14.4</v>
      </c>
      <c r="I259" s="245" t="n">
        <v>3613</v>
      </c>
      <c r="J259" s="246" t="n">
        <f aca="false">G259*I259</f>
        <v>54195</v>
      </c>
      <c r="K259" s="246" t="n">
        <f aca="false">J259-H259*I259</f>
        <v>2167.8</v>
      </c>
      <c r="L259" s="247" t="n">
        <f aca="false">IF(J259&gt;0,K259/J259,0)</f>
        <v>0.0399999999999999</v>
      </c>
    </row>
    <row r="260" customFormat="false" ht="15" hidden="false" customHeight="true" outlineLevel="0" collapsed="false">
      <c r="A260" s="238" t="s">
        <v>412</v>
      </c>
      <c r="B260" s="238" t="s">
        <v>313</v>
      </c>
      <c r="C260" s="238" t="s">
        <v>258</v>
      </c>
      <c r="D260" s="238" t="s">
        <v>383</v>
      </c>
      <c r="E260" s="238" t="s">
        <v>384</v>
      </c>
      <c r="F260" s="238" t="s">
        <v>392</v>
      </c>
      <c r="G260" s="239" t="n">
        <v>15</v>
      </c>
      <c r="H260" s="239" t="n">
        <v>14.8</v>
      </c>
      <c r="I260" s="240" t="n">
        <v>842</v>
      </c>
      <c r="J260" s="241" t="n">
        <f aca="false">G260*I260</f>
        <v>12630</v>
      </c>
      <c r="K260" s="241" t="n">
        <f aca="false">J260-H260*I260</f>
        <v>168.4</v>
      </c>
      <c r="L260" s="242" t="n">
        <f aca="false">IF(J260&gt;0,K260/J260,0)</f>
        <v>0.0133333333333333</v>
      </c>
    </row>
    <row r="261" customFormat="false" ht="15" hidden="false" customHeight="true" outlineLevel="0" collapsed="false">
      <c r="A261" s="243" t="s">
        <v>412</v>
      </c>
      <c r="B261" s="243" t="s">
        <v>313</v>
      </c>
      <c r="C261" s="243" t="s">
        <v>258</v>
      </c>
      <c r="D261" s="243" t="s">
        <v>383</v>
      </c>
      <c r="E261" s="243" t="s">
        <v>396</v>
      </c>
      <c r="F261" s="243" t="s">
        <v>393</v>
      </c>
      <c r="G261" s="244" t="n">
        <v>15</v>
      </c>
      <c r="H261" s="244" t="n">
        <v>14.6</v>
      </c>
      <c r="I261" s="245" t="n">
        <v>6706</v>
      </c>
      <c r="J261" s="246" t="n">
        <f aca="false">G261*I261</f>
        <v>100590</v>
      </c>
      <c r="K261" s="246" t="n">
        <f aca="false">J261-H261*I261</f>
        <v>2682.40000000001</v>
      </c>
      <c r="L261" s="247" t="n">
        <f aca="false">IF(J261&gt;0,K261/J261,0)</f>
        <v>0.0266666666666668</v>
      </c>
    </row>
    <row r="262" customFormat="false" ht="15" hidden="false" customHeight="true" outlineLevel="0" collapsed="false">
      <c r="A262" s="238" t="s">
        <v>412</v>
      </c>
      <c r="B262" s="238" t="s">
        <v>313</v>
      </c>
      <c r="C262" s="238" t="s">
        <v>258</v>
      </c>
      <c r="D262" s="238" t="s">
        <v>383</v>
      </c>
      <c r="E262" s="238" t="s">
        <v>384</v>
      </c>
      <c r="F262" s="238" t="s">
        <v>394</v>
      </c>
      <c r="G262" s="239" t="n">
        <v>15</v>
      </c>
      <c r="H262" s="239" t="n">
        <v>14.4</v>
      </c>
      <c r="I262" s="240" t="n">
        <v>3426</v>
      </c>
      <c r="J262" s="241" t="n">
        <f aca="false">G262*I262</f>
        <v>51390</v>
      </c>
      <c r="K262" s="241" t="n">
        <f aca="false">J262-H262*I262</f>
        <v>2055.6</v>
      </c>
      <c r="L262" s="242" t="n">
        <f aca="false">IF(J262&gt;0,K262/J262,0)</f>
        <v>0.04</v>
      </c>
    </row>
    <row r="263" customFormat="false" ht="15" hidden="false" customHeight="true" outlineLevel="0" collapsed="false">
      <c r="A263" s="243" t="s">
        <v>412</v>
      </c>
      <c r="B263" s="243" t="s">
        <v>313</v>
      </c>
      <c r="C263" s="243" t="s">
        <v>258</v>
      </c>
      <c r="D263" s="243" t="s">
        <v>383</v>
      </c>
      <c r="E263" s="243" t="s">
        <v>384</v>
      </c>
      <c r="F263" s="243" t="s">
        <v>395</v>
      </c>
      <c r="G263" s="244" t="n">
        <v>15</v>
      </c>
      <c r="H263" s="244" t="n">
        <v>14.9</v>
      </c>
      <c r="I263" s="245" t="n">
        <v>1172</v>
      </c>
      <c r="J263" s="246" t="n">
        <f aca="false">G263*I263</f>
        <v>17580</v>
      </c>
      <c r="K263" s="246" t="n">
        <f aca="false">J263-H263*I263</f>
        <v>117.200000000001</v>
      </c>
      <c r="L263" s="247" t="n">
        <f aca="false">IF(J263&gt;0,K263/J263,0)</f>
        <v>0.00666666666666671</v>
      </c>
    </row>
    <row r="264" customFormat="false" ht="15" hidden="false" customHeight="true" outlineLevel="0" collapsed="false">
      <c r="A264" s="238" t="s">
        <v>412</v>
      </c>
      <c r="B264" s="238" t="s">
        <v>313</v>
      </c>
      <c r="C264" s="238" t="s">
        <v>258</v>
      </c>
      <c r="D264" s="238" t="s">
        <v>383</v>
      </c>
      <c r="E264" s="238" t="s">
        <v>384</v>
      </c>
      <c r="F264" s="238" t="s">
        <v>397</v>
      </c>
      <c r="G264" s="239" t="n">
        <v>15</v>
      </c>
      <c r="H264" s="239" t="n">
        <v>14.4</v>
      </c>
      <c r="I264" s="240" t="n">
        <v>7350</v>
      </c>
      <c r="J264" s="241" t="n">
        <f aca="false">G264*I264</f>
        <v>110250</v>
      </c>
      <c r="K264" s="241" t="n">
        <f aca="false">J264-H264*I264</f>
        <v>4410</v>
      </c>
      <c r="L264" s="242" t="n">
        <f aca="false">IF(J264&gt;0,K264/J264,0)</f>
        <v>0.04</v>
      </c>
    </row>
    <row r="265" customFormat="false" ht="15" hidden="false" customHeight="true" outlineLevel="0" collapsed="false">
      <c r="A265" s="243" t="s">
        <v>412</v>
      </c>
      <c r="B265" s="243" t="s">
        <v>313</v>
      </c>
      <c r="C265" s="243" t="s">
        <v>258</v>
      </c>
      <c r="D265" s="243" t="s">
        <v>383</v>
      </c>
      <c r="E265" s="243" t="s">
        <v>386</v>
      </c>
      <c r="F265" s="243" t="s">
        <v>398</v>
      </c>
      <c r="G265" s="244" t="n">
        <v>15</v>
      </c>
      <c r="H265" s="244" t="n">
        <v>14.4</v>
      </c>
      <c r="I265" s="245" t="n">
        <v>7476</v>
      </c>
      <c r="J265" s="246" t="n">
        <f aca="false">G265*I265</f>
        <v>112140</v>
      </c>
      <c r="K265" s="246" t="n">
        <f aca="false">J265-H265*I265</f>
        <v>4485.59999999999</v>
      </c>
      <c r="L265" s="247" t="n">
        <f aca="false">IF(J265&gt;0,K265/J265,0)</f>
        <v>0.0399999999999999</v>
      </c>
    </row>
    <row r="266" customFormat="false" ht="15" hidden="false" customHeight="true" outlineLevel="0" collapsed="false">
      <c r="A266" s="238" t="s">
        <v>412</v>
      </c>
      <c r="B266" s="238" t="s">
        <v>313</v>
      </c>
      <c r="C266" s="238" t="s">
        <v>258</v>
      </c>
      <c r="D266" s="238" t="s">
        <v>399</v>
      </c>
      <c r="E266" s="238" t="s">
        <v>401</v>
      </c>
      <c r="F266" s="238" t="s">
        <v>385</v>
      </c>
      <c r="G266" s="239" t="n">
        <v>15</v>
      </c>
      <c r="H266" s="239" t="n">
        <v>14.5</v>
      </c>
      <c r="I266" s="240" t="n">
        <v>1156</v>
      </c>
      <c r="J266" s="241" t="n">
        <f aca="false">G266*I266</f>
        <v>17340</v>
      </c>
      <c r="K266" s="241" t="n">
        <f aca="false">J266-H266*I266</f>
        <v>578</v>
      </c>
      <c r="L266" s="242" t="n">
        <f aca="false">IF(J266&gt;0,K266/J266,0)</f>
        <v>0.0333333333333333</v>
      </c>
    </row>
    <row r="267" customFormat="false" ht="15" hidden="false" customHeight="true" outlineLevel="0" collapsed="false">
      <c r="A267" s="243" t="s">
        <v>412</v>
      </c>
      <c r="B267" s="243" t="s">
        <v>313</v>
      </c>
      <c r="C267" s="243" t="s">
        <v>258</v>
      </c>
      <c r="D267" s="243" t="s">
        <v>399</v>
      </c>
      <c r="E267" s="243" t="s">
        <v>402</v>
      </c>
      <c r="F267" s="243" t="s">
        <v>387</v>
      </c>
      <c r="G267" s="244" t="n">
        <v>15</v>
      </c>
      <c r="H267" s="244" t="n">
        <v>14.8</v>
      </c>
      <c r="I267" s="245" t="n">
        <v>1273</v>
      </c>
      <c r="J267" s="246" t="n">
        <f aca="false">G267*I267</f>
        <v>19095</v>
      </c>
      <c r="K267" s="246" t="n">
        <f aca="false">J267-H267*I267</f>
        <v>254.599999999999</v>
      </c>
      <c r="L267" s="247" t="n">
        <f aca="false">IF(J267&gt;0,K267/J267,0)</f>
        <v>0.0133333333333333</v>
      </c>
    </row>
    <row r="268" customFormat="false" ht="15" hidden="false" customHeight="true" outlineLevel="0" collapsed="false">
      <c r="A268" s="238" t="s">
        <v>412</v>
      </c>
      <c r="B268" s="238" t="s">
        <v>313</v>
      </c>
      <c r="C268" s="238" t="s">
        <v>258</v>
      </c>
      <c r="D268" s="238" t="s">
        <v>399</v>
      </c>
      <c r="E268" s="238" t="s">
        <v>402</v>
      </c>
      <c r="F268" s="238" t="s">
        <v>388</v>
      </c>
      <c r="G268" s="239" t="n">
        <v>15</v>
      </c>
      <c r="H268" s="239" t="n">
        <v>14.9</v>
      </c>
      <c r="I268" s="240" t="n">
        <v>2707</v>
      </c>
      <c r="J268" s="241" t="n">
        <f aca="false">G268*I268</f>
        <v>40605</v>
      </c>
      <c r="K268" s="241" t="n">
        <f aca="false">J268-H268*I268</f>
        <v>270.699999999997</v>
      </c>
      <c r="L268" s="242" t="n">
        <f aca="false">IF(J268&gt;0,K268/J268,0)</f>
        <v>0.0066666666666666</v>
      </c>
    </row>
    <row r="269" customFormat="false" ht="15" hidden="false" customHeight="true" outlineLevel="0" collapsed="false">
      <c r="A269" s="243" t="s">
        <v>412</v>
      </c>
      <c r="B269" s="243" t="s">
        <v>313</v>
      </c>
      <c r="C269" s="243" t="s">
        <v>258</v>
      </c>
      <c r="D269" s="243" t="s">
        <v>399</v>
      </c>
      <c r="E269" s="243" t="s">
        <v>402</v>
      </c>
      <c r="F269" s="243" t="s">
        <v>389</v>
      </c>
      <c r="G269" s="244" t="n">
        <v>15</v>
      </c>
      <c r="H269" s="244" t="n">
        <v>14.7</v>
      </c>
      <c r="I269" s="245" t="n">
        <v>4267</v>
      </c>
      <c r="J269" s="246" t="n">
        <f aca="false">G269*I269</f>
        <v>64005</v>
      </c>
      <c r="K269" s="246" t="n">
        <f aca="false">J269-H269*I269</f>
        <v>1280.10000000001</v>
      </c>
      <c r="L269" s="247" t="n">
        <f aca="false">IF(J269&gt;0,K269/J269,0)</f>
        <v>0.0200000000000001</v>
      </c>
    </row>
    <row r="270" customFormat="false" ht="15" hidden="false" customHeight="true" outlineLevel="0" collapsed="false">
      <c r="A270" s="238" t="s">
        <v>412</v>
      </c>
      <c r="B270" s="238" t="s">
        <v>313</v>
      </c>
      <c r="C270" s="238" t="s">
        <v>258</v>
      </c>
      <c r="D270" s="238" t="s">
        <v>399</v>
      </c>
      <c r="E270" s="238" t="s">
        <v>402</v>
      </c>
      <c r="F270" s="238" t="s">
        <v>390</v>
      </c>
      <c r="G270" s="239" t="n">
        <v>15</v>
      </c>
      <c r="H270" s="239" t="n">
        <v>14</v>
      </c>
      <c r="I270" s="240" t="n">
        <v>2672</v>
      </c>
      <c r="J270" s="241" t="n">
        <f aca="false">G270*I270</f>
        <v>40080</v>
      </c>
      <c r="K270" s="241" t="n">
        <f aca="false">J270-H270*I270</f>
        <v>2672</v>
      </c>
      <c r="L270" s="242" t="n">
        <f aca="false">IF(J270&gt;0,K270/J270,0)</f>
        <v>0.0666666666666667</v>
      </c>
    </row>
    <row r="271" customFormat="false" ht="15" hidden="false" customHeight="true" outlineLevel="0" collapsed="false">
      <c r="A271" s="243" t="s">
        <v>412</v>
      </c>
      <c r="B271" s="243" t="s">
        <v>313</v>
      </c>
      <c r="C271" s="243" t="s">
        <v>258</v>
      </c>
      <c r="D271" s="243" t="s">
        <v>399</v>
      </c>
      <c r="E271" s="243" t="s">
        <v>402</v>
      </c>
      <c r="F271" s="243" t="s">
        <v>391</v>
      </c>
      <c r="G271" s="244" t="n">
        <v>15</v>
      </c>
      <c r="H271" s="244" t="n">
        <v>14.4</v>
      </c>
      <c r="I271" s="245" t="n">
        <v>3363</v>
      </c>
      <c r="J271" s="246" t="n">
        <f aca="false">G271*I271</f>
        <v>50445</v>
      </c>
      <c r="K271" s="246" t="n">
        <f aca="false">J271-H271*I271</f>
        <v>2017.8</v>
      </c>
      <c r="L271" s="247" t="n">
        <f aca="false">IF(J271&gt;0,K271/J271,0)</f>
        <v>0.0399999999999999</v>
      </c>
    </row>
    <row r="272" customFormat="false" ht="15" hidden="false" customHeight="true" outlineLevel="0" collapsed="false">
      <c r="A272" s="238" t="s">
        <v>412</v>
      </c>
      <c r="B272" s="238" t="s">
        <v>313</v>
      </c>
      <c r="C272" s="238" t="s">
        <v>258</v>
      </c>
      <c r="D272" s="238" t="s">
        <v>399</v>
      </c>
      <c r="E272" s="238" t="s">
        <v>402</v>
      </c>
      <c r="F272" s="238" t="s">
        <v>392</v>
      </c>
      <c r="G272" s="239" t="n">
        <v>15</v>
      </c>
      <c r="H272" s="239" t="n">
        <v>14.1</v>
      </c>
      <c r="I272" s="240" t="n">
        <v>3291</v>
      </c>
      <c r="J272" s="241" t="n">
        <f aca="false">G272*I272</f>
        <v>49365</v>
      </c>
      <c r="K272" s="241" t="n">
        <f aca="false">J272-H272*I272</f>
        <v>2961.9</v>
      </c>
      <c r="L272" s="242" t="n">
        <f aca="false">IF(J272&gt;0,K272/J272,0)</f>
        <v>0.06</v>
      </c>
    </row>
    <row r="273" customFormat="false" ht="15" hidden="false" customHeight="true" outlineLevel="0" collapsed="false">
      <c r="A273" s="243" t="s">
        <v>412</v>
      </c>
      <c r="B273" s="243" t="s">
        <v>313</v>
      </c>
      <c r="C273" s="243" t="s">
        <v>258</v>
      </c>
      <c r="D273" s="243" t="s">
        <v>399</v>
      </c>
      <c r="E273" s="243" t="s">
        <v>400</v>
      </c>
      <c r="F273" s="243" t="s">
        <v>393</v>
      </c>
      <c r="G273" s="244" t="n">
        <v>15</v>
      </c>
      <c r="H273" s="244" t="n">
        <v>14.4</v>
      </c>
      <c r="I273" s="245" t="n">
        <v>4354</v>
      </c>
      <c r="J273" s="246" t="n">
        <f aca="false">G273*I273</f>
        <v>65310</v>
      </c>
      <c r="K273" s="246" t="n">
        <f aca="false">J273-H273*I273</f>
        <v>2612.4</v>
      </c>
      <c r="L273" s="247" t="n">
        <f aca="false">IF(J273&gt;0,K273/J273,0)</f>
        <v>0.04</v>
      </c>
    </row>
    <row r="274" customFormat="false" ht="15" hidden="false" customHeight="true" outlineLevel="0" collapsed="false">
      <c r="A274" s="238" t="s">
        <v>412</v>
      </c>
      <c r="B274" s="238" t="s">
        <v>313</v>
      </c>
      <c r="C274" s="238" t="s">
        <v>258</v>
      </c>
      <c r="D274" s="238" t="s">
        <v>399</v>
      </c>
      <c r="E274" s="238" t="s">
        <v>401</v>
      </c>
      <c r="F274" s="238" t="s">
        <v>394</v>
      </c>
      <c r="G274" s="239" t="n">
        <v>15</v>
      </c>
      <c r="H274" s="239" t="n">
        <v>14.6</v>
      </c>
      <c r="I274" s="240" t="n">
        <v>4308</v>
      </c>
      <c r="J274" s="241" t="n">
        <f aca="false">G274*I274</f>
        <v>64620</v>
      </c>
      <c r="K274" s="241" t="n">
        <f aca="false">J274-H274*I274</f>
        <v>1723.2</v>
      </c>
      <c r="L274" s="242" t="n">
        <f aca="false">IF(J274&gt;0,K274/J274,0)</f>
        <v>0.0266666666666667</v>
      </c>
    </row>
    <row r="275" customFormat="false" ht="15" hidden="false" customHeight="true" outlineLevel="0" collapsed="false">
      <c r="A275" s="243" t="s">
        <v>412</v>
      </c>
      <c r="B275" s="243" t="s">
        <v>313</v>
      </c>
      <c r="C275" s="243" t="s">
        <v>258</v>
      </c>
      <c r="D275" s="243" t="s">
        <v>399</v>
      </c>
      <c r="E275" s="243" t="s">
        <v>401</v>
      </c>
      <c r="F275" s="243" t="s">
        <v>395</v>
      </c>
      <c r="G275" s="244" t="n">
        <v>15</v>
      </c>
      <c r="H275" s="244" t="n">
        <v>14.8</v>
      </c>
      <c r="I275" s="245" t="n">
        <v>1481</v>
      </c>
      <c r="J275" s="246" t="n">
        <f aca="false">G275*I275</f>
        <v>22215</v>
      </c>
      <c r="K275" s="246" t="n">
        <f aca="false">J275-H275*I275</f>
        <v>296.200000000001</v>
      </c>
      <c r="L275" s="247" t="n">
        <f aca="false">IF(J275&gt;0,K275/J275,0)</f>
        <v>0.0133333333333334</v>
      </c>
    </row>
    <row r="276" customFormat="false" ht="15" hidden="false" customHeight="true" outlineLevel="0" collapsed="false">
      <c r="A276" s="238" t="s">
        <v>412</v>
      </c>
      <c r="B276" s="238" t="s">
        <v>313</v>
      </c>
      <c r="C276" s="238" t="s">
        <v>258</v>
      </c>
      <c r="D276" s="238" t="s">
        <v>399</v>
      </c>
      <c r="E276" s="238" t="s">
        <v>401</v>
      </c>
      <c r="F276" s="238" t="s">
        <v>397</v>
      </c>
      <c r="G276" s="239" t="n">
        <v>15</v>
      </c>
      <c r="H276" s="239" t="n">
        <v>14.1</v>
      </c>
      <c r="I276" s="240" t="n">
        <v>1204</v>
      </c>
      <c r="J276" s="241" t="n">
        <f aca="false">G276*I276</f>
        <v>18060</v>
      </c>
      <c r="K276" s="241" t="n">
        <f aca="false">J276-H276*I276</f>
        <v>1083.6</v>
      </c>
      <c r="L276" s="242" t="n">
        <f aca="false">IF(J276&gt;0,K276/J276,0)</f>
        <v>0.0600000000000001</v>
      </c>
    </row>
    <row r="277" customFormat="false" ht="15" hidden="false" customHeight="true" outlineLevel="0" collapsed="false">
      <c r="A277" s="243" t="s">
        <v>412</v>
      </c>
      <c r="B277" s="243" t="s">
        <v>313</v>
      </c>
      <c r="C277" s="243" t="s">
        <v>258</v>
      </c>
      <c r="D277" s="243" t="s">
        <v>399</v>
      </c>
      <c r="E277" s="243" t="s">
        <v>400</v>
      </c>
      <c r="F277" s="243" t="s">
        <v>398</v>
      </c>
      <c r="G277" s="244" t="n">
        <v>15</v>
      </c>
      <c r="H277" s="244" t="n">
        <v>14.9</v>
      </c>
      <c r="I277" s="245" t="n">
        <v>1611</v>
      </c>
      <c r="J277" s="246" t="n">
        <f aca="false">G277*I277</f>
        <v>24165</v>
      </c>
      <c r="K277" s="246" t="n">
        <f aca="false">J277-H277*I277</f>
        <v>161.099999999999</v>
      </c>
      <c r="L277" s="247" t="n">
        <f aca="false">IF(J277&gt;0,K277/J277,0)</f>
        <v>0.00666666666666661</v>
      </c>
    </row>
    <row r="278" customFormat="false" ht="15" hidden="false" customHeight="true" outlineLevel="0" collapsed="false">
      <c r="A278" s="238" t="s">
        <v>412</v>
      </c>
      <c r="B278" s="238" t="s">
        <v>313</v>
      </c>
      <c r="C278" s="238" t="s">
        <v>258</v>
      </c>
      <c r="D278" s="238" t="s">
        <v>403</v>
      </c>
      <c r="E278" s="238" t="s">
        <v>405</v>
      </c>
      <c r="F278" s="238" t="s">
        <v>385</v>
      </c>
      <c r="G278" s="239" t="n">
        <v>15</v>
      </c>
      <c r="H278" s="239" t="n">
        <v>14.2</v>
      </c>
      <c r="I278" s="240" t="n">
        <v>888</v>
      </c>
      <c r="J278" s="241" t="n">
        <f aca="false">G278*I278</f>
        <v>13320</v>
      </c>
      <c r="K278" s="241" t="n">
        <f aca="false">J278-H278*I278</f>
        <v>710.400000000002</v>
      </c>
      <c r="L278" s="242" t="n">
        <f aca="false">IF(J278&gt;0,K278/J278,0)</f>
        <v>0.0533333333333334</v>
      </c>
    </row>
    <row r="279" customFormat="false" ht="15" hidden="false" customHeight="true" outlineLevel="0" collapsed="false">
      <c r="A279" s="243" t="s">
        <v>412</v>
      </c>
      <c r="B279" s="243" t="s">
        <v>313</v>
      </c>
      <c r="C279" s="243" t="s">
        <v>258</v>
      </c>
      <c r="D279" s="243" t="s">
        <v>403</v>
      </c>
      <c r="E279" s="243" t="s">
        <v>405</v>
      </c>
      <c r="F279" s="243" t="s">
        <v>387</v>
      </c>
      <c r="G279" s="244" t="n">
        <v>15</v>
      </c>
      <c r="H279" s="244" t="n">
        <v>14.2</v>
      </c>
      <c r="I279" s="245" t="n">
        <v>2291</v>
      </c>
      <c r="J279" s="246" t="n">
        <f aca="false">G279*I279</f>
        <v>34365</v>
      </c>
      <c r="K279" s="246" t="n">
        <f aca="false">J279-H279*I279</f>
        <v>1832.8</v>
      </c>
      <c r="L279" s="247" t="n">
        <f aca="false">IF(J279&gt;0,K279/J279,0)</f>
        <v>0.0533333333333334</v>
      </c>
    </row>
    <row r="280" customFormat="false" ht="15" hidden="false" customHeight="true" outlineLevel="0" collapsed="false">
      <c r="A280" s="238" t="s">
        <v>412</v>
      </c>
      <c r="B280" s="238" t="s">
        <v>313</v>
      </c>
      <c r="C280" s="238" t="s">
        <v>258</v>
      </c>
      <c r="D280" s="238" t="s">
        <v>403</v>
      </c>
      <c r="E280" s="238" t="s">
        <v>405</v>
      </c>
      <c r="F280" s="238" t="s">
        <v>388</v>
      </c>
      <c r="G280" s="239" t="n">
        <v>15</v>
      </c>
      <c r="H280" s="239" t="n">
        <v>14.2</v>
      </c>
      <c r="I280" s="240" t="n">
        <v>669</v>
      </c>
      <c r="J280" s="241" t="n">
        <f aca="false">G280*I280</f>
        <v>10035</v>
      </c>
      <c r="K280" s="241" t="n">
        <f aca="false">J280-H280*I280</f>
        <v>535.200000000001</v>
      </c>
      <c r="L280" s="242" t="n">
        <f aca="false">IF(J280&gt;0,K280/J280,0)</f>
        <v>0.0533333333333334</v>
      </c>
    </row>
    <row r="281" customFormat="false" ht="15" hidden="false" customHeight="true" outlineLevel="0" collapsed="false">
      <c r="A281" s="243" t="s">
        <v>412</v>
      </c>
      <c r="B281" s="243" t="s">
        <v>313</v>
      </c>
      <c r="C281" s="243" t="s">
        <v>258</v>
      </c>
      <c r="D281" s="243" t="s">
        <v>403</v>
      </c>
      <c r="E281" s="243" t="s">
        <v>404</v>
      </c>
      <c r="F281" s="243" t="s">
        <v>389</v>
      </c>
      <c r="G281" s="244" t="n">
        <v>15</v>
      </c>
      <c r="H281" s="244" t="n">
        <v>14.5</v>
      </c>
      <c r="I281" s="245" t="n">
        <v>2808</v>
      </c>
      <c r="J281" s="246" t="n">
        <f aca="false">G281*I281</f>
        <v>42120</v>
      </c>
      <c r="K281" s="246" t="n">
        <f aca="false">J281-H281*I281</f>
        <v>1404</v>
      </c>
      <c r="L281" s="247" t="n">
        <f aca="false">IF(J281&gt;0,K281/J281,0)</f>
        <v>0.0333333333333333</v>
      </c>
    </row>
    <row r="282" customFormat="false" ht="15" hidden="false" customHeight="true" outlineLevel="0" collapsed="false">
      <c r="A282" s="238" t="s">
        <v>412</v>
      </c>
      <c r="B282" s="238" t="s">
        <v>313</v>
      </c>
      <c r="C282" s="238" t="s">
        <v>258</v>
      </c>
      <c r="D282" s="238" t="s">
        <v>403</v>
      </c>
      <c r="E282" s="238" t="s">
        <v>406</v>
      </c>
      <c r="F282" s="238" t="s">
        <v>390</v>
      </c>
      <c r="G282" s="239" t="n">
        <v>15</v>
      </c>
      <c r="H282" s="239" t="n">
        <v>14.4</v>
      </c>
      <c r="I282" s="240" t="n">
        <v>1226</v>
      </c>
      <c r="J282" s="241" t="n">
        <f aca="false">G282*I282</f>
        <v>18390</v>
      </c>
      <c r="K282" s="241" t="n">
        <f aca="false">J282-H282*I282</f>
        <v>735.599999999999</v>
      </c>
      <c r="L282" s="242" t="n">
        <f aca="false">IF(J282&gt;0,K282/J282,0)</f>
        <v>0.0399999999999999</v>
      </c>
    </row>
    <row r="283" customFormat="false" ht="15" hidden="false" customHeight="true" outlineLevel="0" collapsed="false">
      <c r="A283" s="243" t="s">
        <v>412</v>
      </c>
      <c r="B283" s="243" t="s">
        <v>313</v>
      </c>
      <c r="C283" s="243" t="s">
        <v>258</v>
      </c>
      <c r="D283" s="243" t="s">
        <v>403</v>
      </c>
      <c r="E283" s="243" t="s">
        <v>404</v>
      </c>
      <c r="F283" s="243" t="s">
        <v>391</v>
      </c>
      <c r="G283" s="244" t="n">
        <v>15</v>
      </c>
      <c r="H283" s="244" t="n">
        <v>14.6</v>
      </c>
      <c r="I283" s="245" t="n">
        <v>2252</v>
      </c>
      <c r="J283" s="246" t="n">
        <f aca="false">G283*I283</f>
        <v>33780</v>
      </c>
      <c r="K283" s="246" t="n">
        <f aca="false">J283-H283*I283</f>
        <v>900.800000000003</v>
      </c>
      <c r="L283" s="247" t="n">
        <f aca="false">IF(J283&gt;0,K283/J283,0)</f>
        <v>0.0266666666666668</v>
      </c>
    </row>
    <row r="284" customFormat="false" ht="15" hidden="false" customHeight="true" outlineLevel="0" collapsed="false">
      <c r="A284" s="238" t="s">
        <v>412</v>
      </c>
      <c r="B284" s="238" t="s">
        <v>313</v>
      </c>
      <c r="C284" s="238" t="s">
        <v>258</v>
      </c>
      <c r="D284" s="238" t="s">
        <v>403</v>
      </c>
      <c r="E284" s="238" t="s">
        <v>406</v>
      </c>
      <c r="F284" s="238" t="s">
        <v>392</v>
      </c>
      <c r="G284" s="239" t="n">
        <v>15</v>
      </c>
      <c r="H284" s="239" t="n">
        <v>14.5</v>
      </c>
      <c r="I284" s="240" t="n">
        <v>847</v>
      </c>
      <c r="J284" s="241" t="n">
        <f aca="false">G284*I284</f>
        <v>12705</v>
      </c>
      <c r="K284" s="241" t="n">
        <f aca="false">J284-H284*I284</f>
        <v>423.5</v>
      </c>
      <c r="L284" s="242" t="n">
        <f aca="false">IF(J284&gt;0,K284/J284,0)</f>
        <v>0.0333333333333333</v>
      </c>
    </row>
    <row r="285" customFormat="false" ht="15" hidden="false" customHeight="true" outlineLevel="0" collapsed="false">
      <c r="A285" s="243" t="s">
        <v>412</v>
      </c>
      <c r="B285" s="243" t="s">
        <v>313</v>
      </c>
      <c r="C285" s="243" t="s">
        <v>258</v>
      </c>
      <c r="D285" s="243" t="s">
        <v>403</v>
      </c>
      <c r="E285" s="243" t="s">
        <v>406</v>
      </c>
      <c r="F285" s="243" t="s">
        <v>393</v>
      </c>
      <c r="G285" s="244" t="n">
        <v>15</v>
      </c>
      <c r="H285" s="244" t="n">
        <v>14.4</v>
      </c>
      <c r="I285" s="245" t="n">
        <v>1756</v>
      </c>
      <c r="J285" s="246" t="n">
        <f aca="false">G285*I285</f>
        <v>26340</v>
      </c>
      <c r="K285" s="246" t="n">
        <f aca="false">J285-H285*I285</f>
        <v>1053.6</v>
      </c>
      <c r="L285" s="247" t="n">
        <f aca="false">IF(J285&gt;0,K285/J285,0)</f>
        <v>0.0399999999999999</v>
      </c>
    </row>
    <row r="286" customFormat="false" ht="15" hidden="false" customHeight="true" outlineLevel="0" collapsed="false">
      <c r="A286" s="238" t="s">
        <v>412</v>
      </c>
      <c r="B286" s="238" t="s">
        <v>313</v>
      </c>
      <c r="C286" s="238" t="s">
        <v>258</v>
      </c>
      <c r="D286" s="238" t="s">
        <v>403</v>
      </c>
      <c r="E286" s="238" t="s">
        <v>404</v>
      </c>
      <c r="F286" s="238" t="s">
        <v>394</v>
      </c>
      <c r="G286" s="239" t="n">
        <v>15</v>
      </c>
      <c r="H286" s="239" t="n">
        <v>14.6</v>
      </c>
      <c r="I286" s="240" t="n">
        <v>2134</v>
      </c>
      <c r="J286" s="241" t="n">
        <f aca="false">G286*I286</f>
        <v>32010</v>
      </c>
      <c r="K286" s="241" t="n">
        <f aca="false">J286-H286*I286</f>
        <v>853.600000000002</v>
      </c>
      <c r="L286" s="242" t="n">
        <f aca="false">IF(J286&gt;0,K286/J286,0)</f>
        <v>0.0266666666666667</v>
      </c>
    </row>
    <row r="287" customFormat="false" ht="15" hidden="false" customHeight="true" outlineLevel="0" collapsed="false">
      <c r="A287" s="243" t="s">
        <v>412</v>
      </c>
      <c r="B287" s="243" t="s">
        <v>313</v>
      </c>
      <c r="C287" s="243" t="s">
        <v>258</v>
      </c>
      <c r="D287" s="243" t="s">
        <v>403</v>
      </c>
      <c r="E287" s="243" t="s">
        <v>404</v>
      </c>
      <c r="F287" s="243" t="s">
        <v>395</v>
      </c>
      <c r="G287" s="244" t="n">
        <v>15</v>
      </c>
      <c r="H287" s="244" t="n">
        <v>14.2</v>
      </c>
      <c r="I287" s="245" t="n">
        <v>2695</v>
      </c>
      <c r="J287" s="246" t="n">
        <f aca="false">G287*I287</f>
        <v>40425</v>
      </c>
      <c r="K287" s="246" t="n">
        <f aca="false">J287-H287*I287</f>
        <v>2156</v>
      </c>
      <c r="L287" s="247" t="n">
        <f aca="false">IF(J287&gt;0,K287/J287,0)</f>
        <v>0.0533333333333333</v>
      </c>
    </row>
    <row r="288" customFormat="false" ht="15" hidden="false" customHeight="true" outlineLevel="0" collapsed="false">
      <c r="A288" s="238" t="s">
        <v>412</v>
      </c>
      <c r="B288" s="238" t="s">
        <v>313</v>
      </c>
      <c r="C288" s="238" t="s">
        <v>258</v>
      </c>
      <c r="D288" s="238" t="s">
        <v>403</v>
      </c>
      <c r="E288" s="238" t="s">
        <v>404</v>
      </c>
      <c r="F288" s="238" t="s">
        <v>397</v>
      </c>
      <c r="G288" s="239" t="n">
        <v>15</v>
      </c>
      <c r="H288" s="239" t="n">
        <v>14.9</v>
      </c>
      <c r="I288" s="240" t="n">
        <v>700</v>
      </c>
      <c r="J288" s="241" t="n">
        <f aca="false">G288*I288</f>
        <v>10500</v>
      </c>
      <c r="K288" s="241" t="n">
        <f aca="false">J288-H288*I288</f>
        <v>70</v>
      </c>
      <c r="L288" s="242" t="n">
        <f aca="false">IF(J288&gt;0,K288/J288,0)</f>
        <v>0.00666666666666667</v>
      </c>
    </row>
    <row r="289" customFormat="false" ht="15" hidden="false" customHeight="true" outlineLevel="0" collapsed="false">
      <c r="A289" s="243" t="s">
        <v>412</v>
      </c>
      <c r="B289" s="243" t="s">
        <v>313</v>
      </c>
      <c r="C289" s="243" t="s">
        <v>258</v>
      </c>
      <c r="D289" s="243" t="s">
        <v>403</v>
      </c>
      <c r="E289" s="243" t="s">
        <v>405</v>
      </c>
      <c r="F289" s="243" t="s">
        <v>398</v>
      </c>
      <c r="G289" s="244" t="n">
        <v>15</v>
      </c>
      <c r="H289" s="244" t="n">
        <v>14.6</v>
      </c>
      <c r="I289" s="245" t="n">
        <v>2671</v>
      </c>
      <c r="J289" s="246" t="n">
        <f aca="false">G289*I289</f>
        <v>40065</v>
      </c>
      <c r="K289" s="246" t="n">
        <f aca="false">J289-H289*I289</f>
        <v>1068.4</v>
      </c>
      <c r="L289" s="247" t="n">
        <f aca="false">IF(J289&gt;0,K289/J289,0)</f>
        <v>0.0266666666666667</v>
      </c>
    </row>
    <row r="290" customFormat="false" ht="15" hidden="false" customHeight="true" outlineLevel="0" collapsed="false">
      <c r="A290" s="238" t="s">
        <v>413</v>
      </c>
      <c r="B290" s="238" t="s">
        <v>313</v>
      </c>
      <c r="C290" s="238" t="s">
        <v>258</v>
      </c>
      <c r="D290" s="238" t="s">
        <v>383</v>
      </c>
      <c r="E290" s="238" t="s">
        <v>386</v>
      </c>
      <c r="F290" s="238" t="s">
        <v>385</v>
      </c>
      <c r="G290" s="239" t="n">
        <v>25</v>
      </c>
      <c r="H290" s="239" t="n">
        <v>19.4</v>
      </c>
      <c r="I290" s="240" t="n">
        <v>1093</v>
      </c>
      <c r="J290" s="241" t="n">
        <f aca="false">G290*I290</f>
        <v>27325</v>
      </c>
      <c r="K290" s="241" t="n">
        <f aca="false">J290-H290*I290</f>
        <v>6120.8</v>
      </c>
      <c r="L290" s="242" t="n">
        <f aca="false">IF(J290&gt;0,K290/J290,0)</f>
        <v>0.224</v>
      </c>
    </row>
    <row r="291" customFormat="false" ht="15" hidden="false" customHeight="true" outlineLevel="0" collapsed="false">
      <c r="A291" s="243" t="s">
        <v>413</v>
      </c>
      <c r="B291" s="243" t="s">
        <v>313</v>
      </c>
      <c r="C291" s="243" t="s">
        <v>258</v>
      </c>
      <c r="D291" s="243" t="s">
        <v>383</v>
      </c>
      <c r="E291" s="243" t="s">
        <v>396</v>
      </c>
      <c r="F291" s="243" t="s">
        <v>387</v>
      </c>
      <c r="G291" s="244" t="n">
        <v>25</v>
      </c>
      <c r="H291" s="244" t="n">
        <v>23.6</v>
      </c>
      <c r="I291" s="245" t="n">
        <v>7439</v>
      </c>
      <c r="J291" s="246" t="n">
        <f aca="false">G291*I291</f>
        <v>185975</v>
      </c>
      <c r="K291" s="246" t="n">
        <f aca="false">J291-H291*I291</f>
        <v>10414.6</v>
      </c>
      <c r="L291" s="247" t="n">
        <f aca="false">IF(J291&gt;0,K291/J291,0)</f>
        <v>0.0559999999999999</v>
      </c>
    </row>
    <row r="292" customFormat="false" ht="15" hidden="false" customHeight="true" outlineLevel="0" collapsed="false">
      <c r="A292" s="238" t="s">
        <v>413</v>
      </c>
      <c r="B292" s="238" t="s">
        <v>313</v>
      </c>
      <c r="C292" s="238" t="s">
        <v>258</v>
      </c>
      <c r="D292" s="238" t="s">
        <v>383</v>
      </c>
      <c r="E292" s="238" t="s">
        <v>384</v>
      </c>
      <c r="F292" s="238" t="s">
        <v>388</v>
      </c>
      <c r="G292" s="239" t="n">
        <v>25</v>
      </c>
      <c r="H292" s="239" t="n">
        <v>16.4</v>
      </c>
      <c r="I292" s="240" t="n">
        <v>4482</v>
      </c>
      <c r="J292" s="241" t="n">
        <f aca="false">G292*I292</f>
        <v>112050</v>
      </c>
      <c r="K292" s="241" t="n">
        <f aca="false">J292-H292*I292</f>
        <v>38545.2</v>
      </c>
      <c r="L292" s="242" t="n">
        <f aca="false">IF(J292&gt;0,K292/J292,0)</f>
        <v>0.344</v>
      </c>
    </row>
    <row r="293" customFormat="false" ht="15" hidden="false" customHeight="true" outlineLevel="0" collapsed="false">
      <c r="A293" s="243" t="s">
        <v>413</v>
      </c>
      <c r="B293" s="243" t="s">
        <v>313</v>
      </c>
      <c r="C293" s="243" t="s">
        <v>258</v>
      </c>
      <c r="D293" s="243" t="s">
        <v>383</v>
      </c>
      <c r="E293" s="243" t="s">
        <v>386</v>
      </c>
      <c r="F293" s="243" t="s">
        <v>389</v>
      </c>
      <c r="G293" s="244" t="n">
        <v>25</v>
      </c>
      <c r="H293" s="244" t="n">
        <v>16.7</v>
      </c>
      <c r="I293" s="245" t="n">
        <v>7243</v>
      </c>
      <c r="J293" s="246" t="n">
        <f aca="false">G293*I293</f>
        <v>181075</v>
      </c>
      <c r="K293" s="246" t="n">
        <f aca="false">J293-H293*I293</f>
        <v>60116.9</v>
      </c>
      <c r="L293" s="247" t="n">
        <f aca="false">IF(J293&gt;0,K293/J293,0)</f>
        <v>0.332</v>
      </c>
    </row>
    <row r="294" customFormat="false" ht="15" hidden="false" customHeight="true" outlineLevel="0" collapsed="false">
      <c r="A294" s="238" t="s">
        <v>413</v>
      </c>
      <c r="B294" s="238" t="s">
        <v>313</v>
      </c>
      <c r="C294" s="238" t="s">
        <v>258</v>
      </c>
      <c r="D294" s="238" t="s">
        <v>383</v>
      </c>
      <c r="E294" s="238" t="s">
        <v>384</v>
      </c>
      <c r="F294" s="238" t="s">
        <v>390</v>
      </c>
      <c r="G294" s="239" t="n">
        <v>25</v>
      </c>
      <c r="H294" s="239" t="n">
        <v>14.5</v>
      </c>
      <c r="I294" s="240" t="n">
        <v>1780</v>
      </c>
      <c r="J294" s="241" t="n">
        <f aca="false">G294*I294</f>
        <v>44500</v>
      </c>
      <c r="K294" s="241" t="n">
        <f aca="false">J294-H294*I294</f>
        <v>18690</v>
      </c>
      <c r="L294" s="242" t="n">
        <f aca="false">IF(J294&gt;0,K294/J294,0)</f>
        <v>0.42</v>
      </c>
    </row>
    <row r="295" customFormat="false" ht="15" hidden="false" customHeight="true" outlineLevel="0" collapsed="false">
      <c r="A295" s="243" t="s">
        <v>413</v>
      </c>
      <c r="B295" s="243" t="s">
        <v>313</v>
      </c>
      <c r="C295" s="243" t="s">
        <v>258</v>
      </c>
      <c r="D295" s="243" t="s">
        <v>383</v>
      </c>
      <c r="E295" s="243" t="s">
        <v>384</v>
      </c>
      <c r="F295" s="243" t="s">
        <v>391</v>
      </c>
      <c r="G295" s="244" t="n">
        <v>25</v>
      </c>
      <c r="H295" s="244" t="n">
        <v>14</v>
      </c>
      <c r="I295" s="245" t="n">
        <v>6071</v>
      </c>
      <c r="J295" s="246" t="n">
        <f aca="false">G295*I295</f>
        <v>151775</v>
      </c>
      <c r="K295" s="246" t="n">
        <f aca="false">J295-H295*I295</f>
        <v>66781</v>
      </c>
      <c r="L295" s="247" t="n">
        <f aca="false">IF(J295&gt;0,K295/J295,0)</f>
        <v>0.44</v>
      </c>
    </row>
    <row r="296" customFormat="false" ht="15" hidden="false" customHeight="true" outlineLevel="0" collapsed="false">
      <c r="A296" s="238" t="s">
        <v>413</v>
      </c>
      <c r="B296" s="238" t="s">
        <v>313</v>
      </c>
      <c r="C296" s="238" t="s">
        <v>258</v>
      </c>
      <c r="D296" s="238" t="s">
        <v>383</v>
      </c>
      <c r="E296" s="238" t="s">
        <v>396</v>
      </c>
      <c r="F296" s="238" t="s">
        <v>392</v>
      </c>
      <c r="G296" s="239" t="n">
        <v>25</v>
      </c>
      <c r="H296" s="239" t="n">
        <v>22.9</v>
      </c>
      <c r="I296" s="240" t="n">
        <v>7868</v>
      </c>
      <c r="J296" s="241" t="n">
        <f aca="false">G296*I296</f>
        <v>196700</v>
      </c>
      <c r="K296" s="241" t="n">
        <f aca="false">J296-H296*I296</f>
        <v>16522.8</v>
      </c>
      <c r="L296" s="242" t="n">
        <f aca="false">IF(J296&gt;0,K296/J296,0)</f>
        <v>0.0840000000000001</v>
      </c>
    </row>
    <row r="297" customFormat="false" ht="15" hidden="false" customHeight="true" outlineLevel="0" collapsed="false">
      <c r="A297" s="243" t="s">
        <v>413</v>
      </c>
      <c r="B297" s="243" t="s">
        <v>313</v>
      </c>
      <c r="C297" s="243" t="s">
        <v>258</v>
      </c>
      <c r="D297" s="243" t="s">
        <v>383</v>
      </c>
      <c r="E297" s="243" t="s">
        <v>384</v>
      </c>
      <c r="F297" s="243" t="s">
        <v>393</v>
      </c>
      <c r="G297" s="244" t="n">
        <v>25</v>
      </c>
      <c r="H297" s="244" t="n">
        <v>21.8</v>
      </c>
      <c r="I297" s="245" t="n">
        <v>6639</v>
      </c>
      <c r="J297" s="246" t="n">
        <f aca="false">G297*I297</f>
        <v>165975</v>
      </c>
      <c r="K297" s="246" t="n">
        <f aca="false">J297-H297*I297</f>
        <v>21244.8</v>
      </c>
      <c r="L297" s="247" t="n">
        <f aca="false">IF(J297&gt;0,K297/J297,0)</f>
        <v>0.128</v>
      </c>
    </row>
    <row r="298" customFormat="false" ht="15" hidden="false" customHeight="true" outlineLevel="0" collapsed="false">
      <c r="A298" s="238" t="s">
        <v>413</v>
      </c>
      <c r="B298" s="238" t="s">
        <v>313</v>
      </c>
      <c r="C298" s="238" t="s">
        <v>258</v>
      </c>
      <c r="D298" s="238" t="s">
        <v>383</v>
      </c>
      <c r="E298" s="238" t="s">
        <v>384</v>
      </c>
      <c r="F298" s="238" t="s">
        <v>394</v>
      </c>
      <c r="G298" s="239" t="n">
        <v>25</v>
      </c>
      <c r="H298" s="239" t="n">
        <v>17.5</v>
      </c>
      <c r="I298" s="240" t="n">
        <v>5991</v>
      </c>
      <c r="J298" s="241" t="n">
        <f aca="false">G298*I298</f>
        <v>149775</v>
      </c>
      <c r="K298" s="241" t="n">
        <f aca="false">J298-H298*I298</f>
        <v>44932.5</v>
      </c>
      <c r="L298" s="242" t="n">
        <f aca="false">IF(J298&gt;0,K298/J298,0)</f>
        <v>0.3</v>
      </c>
    </row>
    <row r="299" customFormat="false" ht="15" hidden="false" customHeight="true" outlineLevel="0" collapsed="false">
      <c r="A299" s="243" t="s">
        <v>413</v>
      </c>
      <c r="B299" s="243" t="s">
        <v>313</v>
      </c>
      <c r="C299" s="243" t="s">
        <v>258</v>
      </c>
      <c r="D299" s="243" t="s">
        <v>383</v>
      </c>
      <c r="E299" s="243" t="s">
        <v>396</v>
      </c>
      <c r="F299" s="243" t="s">
        <v>395</v>
      </c>
      <c r="G299" s="244" t="n">
        <v>25</v>
      </c>
      <c r="H299" s="244" t="n">
        <v>24.3</v>
      </c>
      <c r="I299" s="245" t="n">
        <v>3326</v>
      </c>
      <c r="J299" s="246" t="n">
        <f aca="false">G299*I299</f>
        <v>83150</v>
      </c>
      <c r="K299" s="246" t="n">
        <f aca="false">J299-H299*I299</f>
        <v>2328.2</v>
      </c>
      <c r="L299" s="247" t="n">
        <f aca="false">IF(J299&gt;0,K299/J299,0)</f>
        <v>0.028</v>
      </c>
    </row>
    <row r="300" customFormat="false" ht="15" hidden="false" customHeight="true" outlineLevel="0" collapsed="false">
      <c r="A300" s="238" t="s">
        <v>413</v>
      </c>
      <c r="B300" s="238" t="s">
        <v>313</v>
      </c>
      <c r="C300" s="238" t="s">
        <v>258</v>
      </c>
      <c r="D300" s="238" t="s">
        <v>383</v>
      </c>
      <c r="E300" s="238" t="s">
        <v>396</v>
      </c>
      <c r="F300" s="238" t="s">
        <v>397</v>
      </c>
      <c r="G300" s="239" t="n">
        <v>25</v>
      </c>
      <c r="H300" s="239" t="n">
        <v>23.3</v>
      </c>
      <c r="I300" s="240" t="n">
        <v>7255</v>
      </c>
      <c r="J300" s="241" t="n">
        <f aca="false">G300*I300</f>
        <v>181375</v>
      </c>
      <c r="K300" s="241" t="n">
        <f aca="false">J300-H300*I300</f>
        <v>12333.5</v>
      </c>
      <c r="L300" s="242" t="n">
        <f aca="false">IF(J300&gt;0,K300/J300,0)</f>
        <v>0.068</v>
      </c>
    </row>
    <row r="301" customFormat="false" ht="15" hidden="false" customHeight="true" outlineLevel="0" collapsed="false">
      <c r="A301" s="243" t="s">
        <v>413</v>
      </c>
      <c r="B301" s="243" t="s">
        <v>313</v>
      </c>
      <c r="C301" s="243" t="s">
        <v>258</v>
      </c>
      <c r="D301" s="243" t="s">
        <v>383</v>
      </c>
      <c r="E301" s="243" t="s">
        <v>396</v>
      </c>
      <c r="F301" s="243" t="s">
        <v>398</v>
      </c>
      <c r="G301" s="244" t="n">
        <v>25</v>
      </c>
      <c r="H301" s="244" t="n">
        <v>15</v>
      </c>
      <c r="I301" s="245" t="n">
        <v>4086</v>
      </c>
      <c r="J301" s="246" t="n">
        <f aca="false">G301*I301</f>
        <v>102150</v>
      </c>
      <c r="K301" s="246" t="n">
        <f aca="false">J301-H301*I301</f>
        <v>40860</v>
      </c>
      <c r="L301" s="247" t="n">
        <f aca="false">IF(J301&gt;0,K301/J301,0)</f>
        <v>0.4</v>
      </c>
    </row>
    <row r="302" customFormat="false" ht="15" hidden="false" customHeight="true" outlineLevel="0" collapsed="false">
      <c r="A302" s="238" t="s">
        <v>413</v>
      </c>
      <c r="B302" s="238" t="s">
        <v>313</v>
      </c>
      <c r="C302" s="238" t="s">
        <v>258</v>
      </c>
      <c r="D302" s="238" t="s">
        <v>399</v>
      </c>
      <c r="E302" s="238" t="s">
        <v>402</v>
      </c>
      <c r="F302" s="238" t="s">
        <v>385</v>
      </c>
      <c r="G302" s="239" t="n">
        <v>25</v>
      </c>
      <c r="H302" s="239" t="n">
        <v>19.5</v>
      </c>
      <c r="I302" s="240" t="n">
        <v>4639</v>
      </c>
      <c r="J302" s="241" t="n">
        <f aca="false">G302*I302</f>
        <v>115975</v>
      </c>
      <c r="K302" s="241" t="n">
        <f aca="false">J302-H302*I302</f>
        <v>25514.5</v>
      </c>
      <c r="L302" s="242" t="n">
        <f aca="false">IF(J302&gt;0,K302/J302,0)</f>
        <v>0.22</v>
      </c>
    </row>
    <row r="303" customFormat="false" ht="15" hidden="false" customHeight="true" outlineLevel="0" collapsed="false">
      <c r="A303" s="243" t="s">
        <v>413</v>
      </c>
      <c r="B303" s="243" t="s">
        <v>313</v>
      </c>
      <c r="C303" s="243" t="s">
        <v>258</v>
      </c>
      <c r="D303" s="243" t="s">
        <v>399</v>
      </c>
      <c r="E303" s="243" t="s">
        <v>402</v>
      </c>
      <c r="F303" s="243" t="s">
        <v>387</v>
      </c>
      <c r="G303" s="244" t="n">
        <v>25</v>
      </c>
      <c r="H303" s="244" t="n">
        <v>18.5</v>
      </c>
      <c r="I303" s="245" t="n">
        <v>3271</v>
      </c>
      <c r="J303" s="246" t="n">
        <f aca="false">G303*I303</f>
        <v>81775</v>
      </c>
      <c r="K303" s="246" t="n">
        <f aca="false">J303-H303*I303</f>
        <v>21261.5</v>
      </c>
      <c r="L303" s="247" t="n">
        <f aca="false">IF(J303&gt;0,K303/J303,0)</f>
        <v>0.26</v>
      </c>
    </row>
    <row r="304" customFormat="false" ht="15" hidden="false" customHeight="true" outlineLevel="0" collapsed="false">
      <c r="A304" s="238" t="s">
        <v>413</v>
      </c>
      <c r="B304" s="238" t="s">
        <v>313</v>
      </c>
      <c r="C304" s="238" t="s">
        <v>258</v>
      </c>
      <c r="D304" s="238" t="s">
        <v>399</v>
      </c>
      <c r="E304" s="238" t="s">
        <v>402</v>
      </c>
      <c r="F304" s="238" t="s">
        <v>388</v>
      </c>
      <c r="G304" s="239" t="n">
        <v>25</v>
      </c>
      <c r="H304" s="239" t="n">
        <v>21.5</v>
      </c>
      <c r="I304" s="240" t="n">
        <v>665</v>
      </c>
      <c r="J304" s="241" t="n">
        <f aca="false">G304*I304</f>
        <v>16625</v>
      </c>
      <c r="K304" s="241" t="n">
        <f aca="false">J304-H304*I304</f>
        <v>2327.5</v>
      </c>
      <c r="L304" s="242" t="n">
        <f aca="false">IF(J304&gt;0,K304/J304,0)</f>
        <v>0.14</v>
      </c>
    </row>
    <row r="305" customFormat="false" ht="15" hidden="false" customHeight="true" outlineLevel="0" collapsed="false">
      <c r="A305" s="243" t="s">
        <v>413</v>
      </c>
      <c r="B305" s="243" t="s">
        <v>313</v>
      </c>
      <c r="C305" s="243" t="s">
        <v>258</v>
      </c>
      <c r="D305" s="243" t="s">
        <v>399</v>
      </c>
      <c r="E305" s="243" t="s">
        <v>401</v>
      </c>
      <c r="F305" s="243" t="s">
        <v>389</v>
      </c>
      <c r="G305" s="244" t="n">
        <v>25</v>
      </c>
      <c r="H305" s="244" t="n">
        <v>20.6</v>
      </c>
      <c r="I305" s="245" t="n">
        <v>3364</v>
      </c>
      <c r="J305" s="246" t="n">
        <f aca="false">G305*I305</f>
        <v>84100</v>
      </c>
      <c r="K305" s="246" t="n">
        <f aca="false">J305-H305*I305</f>
        <v>14801.6</v>
      </c>
      <c r="L305" s="247" t="n">
        <f aca="false">IF(J305&gt;0,K305/J305,0)</f>
        <v>0.176</v>
      </c>
    </row>
    <row r="306" customFormat="false" ht="15" hidden="false" customHeight="true" outlineLevel="0" collapsed="false">
      <c r="A306" s="238" t="s">
        <v>413</v>
      </c>
      <c r="B306" s="238" t="s">
        <v>313</v>
      </c>
      <c r="C306" s="238" t="s">
        <v>258</v>
      </c>
      <c r="D306" s="238" t="s">
        <v>399</v>
      </c>
      <c r="E306" s="238" t="s">
        <v>402</v>
      </c>
      <c r="F306" s="238" t="s">
        <v>390</v>
      </c>
      <c r="G306" s="239" t="n">
        <v>25</v>
      </c>
      <c r="H306" s="239" t="n">
        <v>17.5</v>
      </c>
      <c r="I306" s="240" t="n">
        <v>4529</v>
      </c>
      <c r="J306" s="241" t="n">
        <f aca="false">G306*I306</f>
        <v>113225</v>
      </c>
      <c r="K306" s="241" t="n">
        <f aca="false">J306-H306*I306</f>
        <v>33967.5</v>
      </c>
      <c r="L306" s="242" t="n">
        <f aca="false">IF(J306&gt;0,K306/J306,0)</f>
        <v>0.3</v>
      </c>
    </row>
    <row r="307" customFormat="false" ht="15" hidden="false" customHeight="true" outlineLevel="0" collapsed="false">
      <c r="A307" s="243" t="s">
        <v>413</v>
      </c>
      <c r="B307" s="243" t="s">
        <v>313</v>
      </c>
      <c r="C307" s="243" t="s">
        <v>258</v>
      </c>
      <c r="D307" s="243" t="s">
        <v>399</v>
      </c>
      <c r="E307" s="243" t="s">
        <v>400</v>
      </c>
      <c r="F307" s="243" t="s">
        <v>391</v>
      </c>
      <c r="G307" s="244" t="n">
        <v>25</v>
      </c>
      <c r="H307" s="244" t="n">
        <v>16.3</v>
      </c>
      <c r="I307" s="245" t="n">
        <v>1689</v>
      </c>
      <c r="J307" s="246" t="n">
        <f aca="false">G307*I307</f>
        <v>42225</v>
      </c>
      <c r="K307" s="246" t="n">
        <f aca="false">J307-H307*I307</f>
        <v>14694.3</v>
      </c>
      <c r="L307" s="247" t="n">
        <f aca="false">IF(J307&gt;0,K307/J307,0)</f>
        <v>0.348</v>
      </c>
    </row>
    <row r="308" customFormat="false" ht="15" hidden="false" customHeight="true" outlineLevel="0" collapsed="false">
      <c r="A308" s="238" t="s">
        <v>413</v>
      </c>
      <c r="B308" s="238" t="s">
        <v>313</v>
      </c>
      <c r="C308" s="238" t="s">
        <v>258</v>
      </c>
      <c r="D308" s="238" t="s">
        <v>399</v>
      </c>
      <c r="E308" s="238" t="s">
        <v>401</v>
      </c>
      <c r="F308" s="238" t="s">
        <v>392</v>
      </c>
      <c r="G308" s="239" t="n">
        <v>25</v>
      </c>
      <c r="H308" s="239" t="n">
        <v>24.5</v>
      </c>
      <c r="I308" s="240" t="n">
        <v>4362</v>
      </c>
      <c r="J308" s="241" t="n">
        <f aca="false">G308*I308</f>
        <v>109050</v>
      </c>
      <c r="K308" s="241" t="n">
        <f aca="false">J308-H308*I308</f>
        <v>2181</v>
      </c>
      <c r="L308" s="242" t="n">
        <f aca="false">IF(J308&gt;0,K308/J308,0)</f>
        <v>0.02</v>
      </c>
    </row>
    <row r="309" customFormat="false" ht="15" hidden="false" customHeight="true" outlineLevel="0" collapsed="false">
      <c r="A309" s="243" t="s">
        <v>413</v>
      </c>
      <c r="B309" s="243" t="s">
        <v>313</v>
      </c>
      <c r="C309" s="243" t="s">
        <v>258</v>
      </c>
      <c r="D309" s="243" t="s">
        <v>399</v>
      </c>
      <c r="E309" s="243" t="s">
        <v>402</v>
      </c>
      <c r="F309" s="243" t="s">
        <v>393</v>
      </c>
      <c r="G309" s="244" t="n">
        <v>25</v>
      </c>
      <c r="H309" s="244" t="n">
        <v>18.9</v>
      </c>
      <c r="I309" s="245" t="n">
        <v>3110</v>
      </c>
      <c r="J309" s="246" t="n">
        <f aca="false">G309*I309</f>
        <v>77750</v>
      </c>
      <c r="K309" s="246" t="n">
        <f aca="false">J309-H309*I309</f>
        <v>18971</v>
      </c>
      <c r="L309" s="247" t="n">
        <f aca="false">IF(J309&gt;0,K309/J309,0)</f>
        <v>0.244</v>
      </c>
    </row>
    <row r="310" customFormat="false" ht="15" hidden="false" customHeight="true" outlineLevel="0" collapsed="false">
      <c r="A310" s="238" t="s">
        <v>413</v>
      </c>
      <c r="B310" s="238" t="s">
        <v>313</v>
      </c>
      <c r="C310" s="238" t="s">
        <v>258</v>
      </c>
      <c r="D310" s="238" t="s">
        <v>399</v>
      </c>
      <c r="E310" s="238" t="s">
        <v>401</v>
      </c>
      <c r="F310" s="238" t="s">
        <v>394</v>
      </c>
      <c r="G310" s="239" t="n">
        <v>25</v>
      </c>
      <c r="H310" s="239" t="n">
        <v>22.2</v>
      </c>
      <c r="I310" s="240" t="n">
        <v>2910</v>
      </c>
      <c r="J310" s="241" t="n">
        <f aca="false">G310*I310</f>
        <v>72750</v>
      </c>
      <c r="K310" s="241" t="n">
        <f aca="false">J310-H310*I310</f>
        <v>8148</v>
      </c>
      <c r="L310" s="242" t="n">
        <f aca="false">IF(J310&gt;0,K310/J310,0)</f>
        <v>0.112</v>
      </c>
    </row>
    <row r="311" customFormat="false" ht="15" hidden="false" customHeight="true" outlineLevel="0" collapsed="false">
      <c r="A311" s="243" t="s">
        <v>413</v>
      </c>
      <c r="B311" s="243" t="s">
        <v>313</v>
      </c>
      <c r="C311" s="243" t="s">
        <v>258</v>
      </c>
      <c r="D311" s="243" t="s">
        <v>399</v>
      </c>
      <c r="E311" s="243" t="s">
        <v>401</v>
      </c>
      <c r="F311" s="243" t="s">
        <v>395</v>
      </c>
      <c r="G311" s="244" t="n">
        <v>25</v>
      </c>
      <c r="H311" s="244" t="n">
        <v>16.9</v>
      </c>
      <c r="I311" s="245" t="n">
        <v>2171</v>
      </c>
      <c r="J311" s="246" t="n">
        <f aca="false">G311*I311</f>
        <v>54275</v>
      </c>
      <c r="K311" s="246" t="n">
        <f aca="false">J311-H311*I311</f>
        <v>17585.1</v>
      </c>
      <c r="L311" s="247" t="n">
        <f aca="false">IF(J311&gt;0,K311/J311,0)</f>
        <v>0.324</v>
      </c>
    </row>
    <row r="312" customFormat="false" ht="15" hidden="false" customHeight="true" outlineLevel="0" collapsed="false">
      <c r="A312" s="238" t="s">
        <v>413</v>
      </c>
      <c r="B312" s="238" t="s">
        <v>313</v>
      </c>
      <c r="C312" s="238" t="s">
        <v>258</v>
      </c>
      <c r="D312" s="238" t="s">
        <v>399</v>
      </c>
      <c r="E312" s="238" t="s">
        <v>401</v>
      </c>
      <c r="F312" s="238" t="s">
        <v>397</v>
      </c>
      <c r="G312" s="239" t="n">
        <v>25</v>
      </c>
      <c r="H312" s="239" t="n">
        <v>14.1</v>
      </c>
      <c r="I312" s="240" t="n">
        <v>3098</v>
      </c>
      <c r="J312" s="241" t="n">
        <f aca="false">G312*I312</f>
        <v>77450</v>
      </c>
      <c r="K312" s="241" t="n">
        <f aca="false">J312-H312*I312</f>
        <v>33768.2</v>
      </c>
      <c r="L312" s="242" t="n">
        <f aca="false">IF(J312&gt;0,K312/J312,0)</f>
        <v>0.436</v>
      </c>
    </row>
    <row r="313" customFormat="false" ht="15" hidden="false" customHeight="true" outlineLevel="0" collapsed="false">
      <c r="A313" s="243" t="s">
        <v>413</v>
      </c>
      <c r="B313" s="243" t="s">
        <v>313</v>
      </c>
      <c r="C313" s="243" t="s">
        <v>258</v>
      </c>
      <c r="D313" s="243" t="s">
        <v>399</v>
      </c>
      <c r="E313" s="243" t="s">
        <v>402</v>
      </c>
      <c r="F313" s="243" t="s">
        <v>398</v>
      </c>
      <c r="G313" s="244" t="n">
        <v>25</v>
      </c>
      <c r="H313" s="244" t="n">
        <v>21.4</v>
      </c>
      <c r="I313" s="245" t="n">
        <v>866</v>
      </c>
      <c r="J313" s="246" t="n">
        <f aca="false">G313*I313</f>
        <v>21650</v>
      </c>
      <c r="K313" s="246" t="n">
        <f aca="false">J313-H313*I313</f>
        <v>3117.6</v>
      </c>
      <c r="L313" s="247" t="n">
        <f aca="false">IF(J313&gt;0,K313/J313,0)</f>
        <v>0.144</v>
      </c>
    </row>
    <row r="314" customFormat="false" ht="15" hidden="false" customHeight="true" outlineLevel="0" collapsed="false">
      <c r="A314" s="238" t="s">
        <v>413</v>
      </c>
      <c r="B314" s="238" t="s">
        <v>313</v>
      </c>
      <c r="C314" s="238" t="s">
        <v>258</v>
      </c>
      <c r="D314" s="238" t="s">
        <v>403</v>
      </c>
      <c r="E314" s="238" t="s">
        <v>406</v>
      </c>
      <c r="F314" s="238" t="s">
        <v>385</v>
      </c>
      <c r="G314" s="239" t="n">
        <v>25</v>
      </c>
      <c r="H314" s="239" t="n">
        <v>23.1</v>
      </c>
      <c r="I314" s="240" t="n">
        <v>2500</v>
      </c>
      <c r="J314" s="241" t="n">
        <f aca="false">G314*I314</f>
        <v>62500</v>
      </c>
      <c r="K314" s="241" t="n">
        <f aca="false">J314-H314*I314</f>
        <v>4750</v>
      </c>
      <c r="L314" s="242" t="n">
        <f aca="false">IF(J314&gt;0,K314/J314,0)</f>
        <v>0.076</v>
      </c>
    </row>
    <row r="315" customFormat="false" ht="15" hidden="false" customHeight="true" outlineLevel="0" collapsed="false">
      <c r="A315" s="243" t="s">
        <v>413</v>
      </c>
      <c r="B315" s="243" t="s">
        <v>313</v>
      </c>
      <c r="C315" s="243" t="s">
        <v>258</v>
      </c>
      <c r="D315" s="243" t="s">
        <v>403</v>
      </c>
      <c r="E315" s="243" t="s">
        <v>404</v>
      </c>
      <c r="F315" s="243" t="s">
        <v>387</v>
      </c>
      <c r="G315" s="244" t="n">
        <v>25</v>
      </c>
      <c r="H315" s="244" t="n">
        <v>21.7</v>
      </c>
      <c r="I315" s="245" t="n">
        <v>1834</v>
      </c>
      <c r="J315" s="246" t="n">
        <f aca="false">G315*I315</f>
        <v>45850</v>
      </c>
      <c r="K315" s="246" t="n">
        <f aca="false">J315-H315*I315</f>
        <v>6052.2</v>
      </c>
      <c r="L315" s="247" t="n">
        <f aca="false">IF(J315&gt;0,K315/J315,0)</f>
        <v>0.132</v>
      </c>
    </row>
    <row r="316" customFormat="false" ht="15" hidden="false" customHeight="true" outlineLevel="0" collapsed="false">
      <c r="A316" s="238" t="s">
        <v>413</v>
      </c>
      <c r="B316" s="238" t="s">
        <v>313</v>
      </c>
      <c r="C316" s="238" t="s">
        <v>258</v>
      </c>
      <c r="D316" s="238" t="s">
        <v>403</v>
      </c>
      <c r="E316" s="238" t="s">
        <v>405</v>
      </c>
      <c r="F316" s="238" t="s">
        <v>388</v>
      </c>
      <c r="G316" s="239" t="n">
        <v>25</v>
      </c>
      <c r="H316" s="239" t="n">
        <v>18</v>
      </c>
      <c r="I316" s="240" t="n">
        <v>3203</v>
      </c>
      <c r="J316" s="241" t="n">
        <f aca="false">G316*I316</f>
        <v>80075</v>
      </c>
      <c r="K316" s="241" t="n">
        <f aca="false">J316-H316*I316</f>
        <v>22421</v>
      </c>
      <c r="L316" s="242" t="n">
        <f aca="false">IF(J316&gt;0,K316/J316,0)</f>
        <v>0.28</v>
      </c>
    </row>
    <row r="317" customFormat="false" ht="15" hidden="false" customHeight="true" outlineLevel="0" collapsed="false">
      <c r="A317" s="243" t="s">
        <v>413</v>
      </c>
      <c r="B317" s="243" t="s">
        <v>313</v>
      </c>
      <c r="C317" s="243" t="s">
        <v>258</v>
      </c>
      <c r="D317" s="243" t="s">
        <v>403</v>
      </c>
      <c r="E317" s="243" t="s">
        <v>405</v>
      </c>
      <c r="F317" s="243" t="s">
        <v>389</v>
      </c>
      <c r="G317" s="244" t="n">
        <v>25</v>
      </c>
      <c r="H317" s="244" t="n">
        <v>14.8</v>
      </c>
      <c r="I317" s="245" t="n">
        <v>2944</v>
      </c>
      <c r="J317" s="246" t="n">
        <f aca="false">G317*I317</f>
        <v>73600</v>
      </c>
      <c r="K317" s="246" t="n">
        <f aca="false">J317-H317*I317</f>
        <v>30028.8</v>
      </c>
      <c r="L317" s="247" t="n">
        <f aca="false">IF(J317&gt;0,K317/J317,0)</f>
        <v>0.408</v>
      </c>
    </row>
    <row r="318" customFormat="false" ht="15" hidden="false" customHeight="true" outlineLevel="0" collapsed="false">
      <c r="A318" s="238" t="s">
        <v>413</v>
      </c>
      <c r="B318" s="238" t="s">
        <v>313</v>
      </c>
      <c r="C318" s="238" t="s">
        <v>258</v>
      </c>
      <c r="D318" s="238" t="s">
        <v>403</v>
      </c>
      <c r="E318" s="238" t="s">
        <v>406</v>
      </c>
      <c r="F318" s="238" t="s">
        <v>390</v>
      </c>
      <c r="G318" s="239" t="n">
        <v>25</v>
      </c>
      <c r="H318" s="239" t="n">
        <v>25</v>
      </c>
      <c r="I318" s="240" t="n">
        <v>423</v>
      </c>
      <c r="J318" s="241" t="n">
        <f aca="false">G318*I318</f>
        <v>10575</v>
      </c>
      <c r="K318" s="241" t="n">
        <f aca="false">J318-H318*I318</f>
        <v>0</v>
      </c>
      <c r="L318" s="242" t="n">
        <f aca="false">IF(J318&gt;0,K318/J318,0)</f>
        <v>0</v>
      </c>
    </row>
    <row r="319" customFormat="false" ht="15" hidden="false" customHeight="true" outlineLevel="0" collapsed="false">
      <c r="A319" s="243" t="s">
        <v>413</v>
      </c>
      <c r="B319" s="243" t="s">
        <v>313</v>
      </c>
      <c r="C319" s="243" t="s">
        <v>258</v>
      </c>
      <c r="D319" s="243" t="s">
        <v>403</v>
      </c>
      <c r="E319" s="243" t="s">
        <v>404</v>
      </c>
      <c r="F319" s="243" t="s">
        <v>391</v>
      </c>
      <c r="G319" s="244" t="n">
        <v>25</v>
      </c>
      <c r="H319" s="244" t="n">
        <v>21.8</v>
      </c>
      <c r="I319" s="245" t="n">
        <v>2154</v>
      </c>
      <c r="J319" s="246" t="n">
        <f aca="false">G319*I319</f>
        <v>53850</v>
      </c>
      <c r="K319" s="246" t="n">
        <f aca="false">J319-H319*I319</f>
        <v>6892.8</v>
      </c>
      <c r="L319" s="247" t="n">
        <f aca="false">IF(J319&gt;0,K319/J319,0)</f>
        <v>0.128</v>
      </c>
    </row>
    <row r="320" customFormat="false" ht="15" hidden="false" customHeight="true" outlineLevel="0" collapsed="false">
      <c r="A320" s="238" t="s">
        <v>413</v>
      </c>
      <c r="B320" s="238" t="s">
        <v>313</v>
      </c>
      <c r="C320" s="238" t="s">
        <v>258</v>
      </c>
      <c r="D320" s="238" t="s">
        <v>403</v>
      </c>
      <c r="E320" s="238" t="s">
        <v>406</v>
      </c>
      <c r="F320" s="238" t="s">
        <v>392</v>
      </c>
      <c r="G320" s="239" t="n">
        <v>25</v>
      </c>
      <c r="H320" s="239" t="n">
        <v>19.4</v>
      </c>
      <c r="I320" s="240" t="n">
        <v>2944</v>
      </c>
      <c r="J320" s="241" t="n">
        <f aca="false">G320*I320</f>
        <v>73600</v>
      </c>
      <c r="K320" s="241" t="n">
        <f aca="false">J320-H320*I320</f>
        <v>16486.4</v>
      </c>
      <c r="L320" s="242" t="n">
        <f aca="false">IF(J320&gt;0,K320/J320,0)</f>
        <v>0.224</v>
      </c>
    </row>
    <row r="321" customFormat="false" ht="15" hidden="false" customHeight="true" outlineLevel="0" collapsed="false">
      <c r="A321" s="243" t="s">
        <v>413</v>
      </c>
      <c r="B321" s="243" t="s">
        <v>313</v>
      </c>
      <c r="C321" s="243" t="s">
        <v>258</v>
      </c>
      <c r="D321" s="243" t="s">
        <v>403</v>
      </c>
      <c r="E321" s="243" t="s">
        <v>406</v>
      </c>
      <c r="F321" s="243" t="s">
        <v>393</v>
      </c>
      <c r="G321" s="244" t="n">
        <v>25</v>
      </c>
      <c r="H321" s="244" t="n">
        <v>19.6</v>
      </c>
      <c r="I321" s="245" t="n">
        <v>2116</v>
      </c>
      <c r="J321" s="246" t="n">
        <f aca="false">G321*I321</f>
        <v>52900</v>
      </c>
      <c r="K321" s="246" t="n">
        <f aca="false">J321-H321*I321</f>
        <v>11426.4</v>
      </c>
      <c r="L321" s="247" t="n">
        <f aca="false">IF(J321&gt;0,K321/J321,0)</f>
        <v>0.216</v>
      </c>
    </row>
    <row r="322" customFormat="false" ht="15" hidden="false" customHeight="true" outlineLevel="0" collapsed="false">
      <c r="A322" s="238" t="s">
        <v>413</v>
      </c>
      <c r="B322" s="238" t="s">
        <v>313</v>
      </c>
      <c r="C322" s="238" t="s">
        <v>258</v>
      </c>
      <c r="D322" s="238" t="s">
        <v>403</v>
      </c>
      <c r="E322" s="238" t="s">
        <v>404</v>
      </c>
      <c r="F322" s="238" t="s">
        <v>394</v>
      </c>
      <c r="G322" s="239" t="n">
        <v>25</v>
      </c>
      <c r="H322" s="239" t="n">
        <v>24.8</v>
      </c>
      <c r="I322" s="240" t="n">
        <v>332</v>
      </c>
      <c r="J322" s="241" t="n">
        <f aca="false">G322*I322</f>
        <v>8300</v>
      </c>
      <c r="K322" s="241" t="n">
        <f aca="false">J322-H322*I322</f>
        <v>66.3999999999996</v>
      </c>
      <c r="L322" s="242" t="n">
        <f aca="false">IF(J322&gt;0,K322/J322,0)</f>
        <v>0.00799999999999996</v>
      </c>
    </row>
    <row r="323" customFormat="false" ht="15" hidden="false" customHeight="true" outlineLevel="0" collapsed="false">
      <c r="A323" s="243" t="s">
        <v>413</v>
      </c>
      <c r="B323" s="243" t="s">
        <v>313</v>
      </c>
      <c r="C323" s="243" t="s">
        <v>258</v>
      </c>
      <c r="D323" s="243" t="s">
        <v>403</v>
      </c>
      <c r="E323" s="243" t="s">
        <v>405</v>
      </c>
      <c r="F323" s="243" t="s">
        <v>395</v>
      </c>
      <c r="G323" s="244" t="n">
        <v>25</v>
      </c>
      <c r="H323" s="244" t="n">
        <v>21.7</v>
      </c>
      <c r="I323" s="245" t="n">
        <v>1855</v>
      </c>
      <c r="J323" s="246" t="n">
        <f aca="false">G323*I323</f>
        <v>46375</v>
      </c>
      <c r="K323" s="246" t="n">
        <f aca="false">J323-H323*I323</f>
        <v>6121.5</v>
      </c>
      <c r="L323" s="247" t="n">
        <f aca="false">IF(J323&gt;0,K323/J323,0)</f>
        <v>0.132</v>
      </c>
    </row>
    <row r="324" customFormat="false" ht="15" hidden="false" customHeight="true" outlineLevel="0" collapsed="false">
      <c r="A324" s="238" t="s">
        <v>413</v>
      </c>
      <c r="B324" s="238" t="s">
        <v>313</v>
      </c>
      <c r="C324" s="238" t="s">
        <v>258</v>
      </c>
      <c r="D324" s="238" t="s">
        <v>403</v>
      </c>
      <c r="E324" s="238" t="s">
        <v>405</v>
      </c>
      <c r="F324" s="238" t="s">
        <v>397</v>
      </c>
      <c r="G324" s="239" t="n">
        <v>25</v>
      </c>
      <c r="H324" s="239" t="n">
        <v>22.5</v>
      </c>
      <c r="I324" s="240" t="n">
        <v>2032</v>
      </c>
      <c r="J324" s="241" t="n">
        <f aca="false">G324*I324</f>
        <v>50800</v>
      </c>
      <c r="K324" s="241" t="n">
        <f aca="false">J324-H324*I324</f>
        <v>5080</v>
      </c>
      <c r="L324" s="242" t="n">
        <f aca="false">IF(J324&gt;0,K324/J324,0)</f>
        <v>0.1</v>
      </c>
    </row>
    <row r="325" customFormat="false" ht="15" hidden="false" customHeight="true" outlineLevel="0" collapsed="false">
      <c r="A325" s="243" t="s">
        <v>413</v>
      </c>
      <c r="B325" s="243" t="s">
        <v>313</v>
      </c>
      <c r="C325" s="243" t="s">
        <v>258</v>
      </c>
      <c r="D325" s="243" t="s">
        <v>403</v>
      </c>
      <c r="E325" s="243" t="s">
        <v>404</v>
      </c>
      <c r="F325" s="243" t="s">
        <v>398</v>
      </c>
      <c r="G325" s="244" t="n">
        <v>25</v>
      </c>
      <c r="H325" s="244" t="n">
        <v>23.5</v>
      </c>
      <c r="I325" s="245" t="n">
        <v>1396</v>
      </c>
      <c r="J325" s="246" t="n">
        <f aca="false">G325*I325</f>
        <v>34900</v>
      </c>
      <c r="K325" s="246" t="n">
        <f aca="false">J325-H325*I325</f>
        <v>2094</v>
      </c>
      <c r="L325" s="247" t="n">
        <f aca="false">IF(J325&gt;0,K325/J325,0)</f>
        <v>0.06</v>
      </c>
    </row>
    <row r="326" customFormat="false" ht="15" hidden="false" customHeight="true" outlineLevel="0" collapsed="false">
      <c r="A326" s="238" t="s">
        <v>414</v>
      </c>
      <c r="B326" s="238" t="s">
        <v>277</v>
      </c>
      <c r="C326" s="238" t="s">
        <v>260</v>
      </c>
      <c r="D326" s="238" t="s">
        <v>383</v>
      </c>
      <c r="E326" s="238" t="s">
        <v>386</v>
      </c>
      <c r="F326" s="238" t="s">
        <v>385</v>
      </c>
      <c r="G326" s="239" t="n">
        <v>9.1</v>
      </c>
      <c r="H326" s="239" t="n">
        <v>4.5</v>
      </c>
      <c r="I326" s="240" t="n">
        <v>6570</v>
      </c>
      <c r="J326" s="241" t="n">
        <f aca="false">G326*I326</f>
        <v>59787</v>
      </c>
      <c r="K326" s="241" t="n">
        <f aca="false">J326-H326*I326</f>
        <v>30222</v>
      </c>
      <c r="L326" s="242" t="n">
        <f aca="false">IF(J326&gt;0,K326/J326,0)</f>
        <v>0.505494505494506</v>
      </c>
    </row>
    <row r="327" customFormat="false" ht="15" hidden="false" customHeight="true" outlineLevel="0" collapsed="false">
      <c r="A327" s="243" t="s">
        <v>414</v>
      </c>
      <c r="B327" s="243" t="s">
        <v>277</v>
      </c>
      <c r="C327" s="243" t="s">
        <v>260</v>
      </c>
      <c r="D327" s="243" t="s">
        <v>383</v>
      </c>
      <c r="E327" s="243" t="s">
        <v>386</v>
      </c>
      <c r="F327" s="243" t="s">
        <v>387</v>
      </c>
      <c r="G327" s="244" t="n">
        <v>9.4</v>
      </c>
      <c r="H327" s="244" t="n">
        <v>4.4</v>
      </c>
      <c r="I327" s="245" t="n">
        <v>5395</v>
      </c>
      <c r="J327" s="246" t="n">
        <f aca="false">G327*I327</f>
        <v>50713</v>
      </c>
      <c r="K327" s="246" t="n">
        <f aca="false">J327-H327*I327</f>
        <v>26975</v>
      </c>
      <c r="L327" s="247" t="n">
        <f aca="false">IF(J327&gt;0,K327/J327,0)</f>
        <v>0.531914893617021</v>
      </c>
    </row>
    <row r="328" customFormat="false" ht="15" hidden="false" customHeight="true" outlineLevel="0" collapsed="false">
      <c r="A328" s="238" t="s">
        <v>414</v>
      </c>
      <c r="B328" s="238" t="s">
        <v>277</v>
      </c>
      <c r="C328" s="238" t="s">
        <v>260</v>
      </c>
      <c r="D328" s="238" t="s">
        <v>383</v>
      </c>
      <c r="E328" s="238" t="s">
        <v>384</v>
      </c>
      <c r="F328" s="238" t="s">
        <v>388</v>
      </c>
      <c r="G328" s="239" t="n">
        <v>16.4</v>
      </c>
      <c r="H328" s="239" t="n">
        <v>6.3</v>
      </c>
      <c r="I328" s="240" t="n">
        <v>2702</v>
      </c>
      <c r="J328" s="241" t="n">
        <f aca="false">G328*I328</f>
        <v>44312.8</v>
      </c>
      <c r="K328" s="241" t="n">
        <f aca="false">J328-H328*I328</f>
        <v>27290.2</v>
      </c>
      <c r="L328" s="242" t="n">
        <f aca="false">IF(J328&gt;0,K328/J328,0)</f>
        <v>0.615853658536585</v>
      </c>
    </row>
    <row r="329" customFormat="false" ht="15" hidden="false" customHeight="true" outlineLevel="0" collapsed="false">
      <c r="A329" s="243" t="s">
        <v>414</v>
      </c>
      <c r="B329" s="243" t="s">
        <v>277</v>
      </c>
      <c r="C329" s="243" t="s">
        <v>260</v>
      </c>
      <c r="D329" s="243" t="s">
        <v>383</v>
      </c>
      <c r="E329" s="243" t="s">
        <v>386</v>
      </c>
      <c r="F329" s="243" t="s">
        <v>389</v>
      </c>
      <c r="G329" s="244" t="n">
        <v>13.6</v>
      </c>
      <c r="H329" s="244" t="n">
        <v>4.2</v>
      </c>
      <c r="I329" s="245" t="n">
        <v>7227</v>
      </c>
      <c r="J329" s="246" t="n">
        <f aca="false">G329*I329</f>
        <v>98287.2</v>
      </c>
      <c r="K329" s="246" t="n">
        <f aca="false">J329-H329*I329</f>
        <v>67933.8</v>
      </c>
      <c r="L329" s="247" t="n">
        <f aca="false">IF(J329&gt;0,K329/J329,0)</f>
        <v>0.691176470588235</v>
      </c>
    </row>
    <row r="330" customFormat="false" ht="15" hidden="false" customHeight="true" outlineLevel="0" collapsed="false">
      <c r="A330" s="238" t="s">
        <v>414</v>
      </c>
      <c r="B330" s="238" t="s">
        <v>277</v>
      </c>
      <c r="C330" s="238" t="s">
        <v>260</v>
      </c>
      <c r="D330" s="238" t="s">
        <v>383</v>
      </c>
      <c r="E330" s="238" t="s">
        <v>386</v>
      </c>
      <c r="F330" s="238" t="s">
        <v>390</v>
      </c>
      <c r="G330" s="239" t="n">
        <v>15.7</v>
      </c>
      <c r="H330" s="239" t="n">
        <v>5.9</v>
      </c>
      <c r="I330" s="240" t="n">
        <v>7547</v>
      </c>
      <c r="J330" s="241" t="n">
        <f aca="false">G330*I330</f>
        <v>118487.9</v>
      </c>
      <c r="K330" s="241" t="n">
        <f aca="false">J330-H330*I330</f>
        <v>73960.6</v>
      </c>
      <c r="L330" s="242" t="n">
        <f aca="false">IF(J330&gt;0,K330/J330,0)</f>
        <v>0.624203821656051</v>
      </c>
    </row>
    <row r="331" customFormat="false" ht="15" hidden="false" customHeight="true" outlineLevel="0" collapsed="false">
      <c r="A331" s="243" t="s">
        <v>414</v>
      </c>
      <c r="B331" s="243" t="s">
        <v>277</v>
      </c>
      <c r="C331" s="243" t="s">
        <v>260</v>
      </c>
      <c r="D331" s="243" t="s">
        <v>383</v>
      </c>
      <c r="E331" s="243" t="s">
        <v>384</v>
      </c>
      <c r="F331" s="243" t="s">
        <v>391</v>
      </c>
      <c r="G331" s="244" t="n">
        <v>12.4</v>
      </c>
      <c r="H331" s="244" t="n">
        <v>5.5</v>
      </c>
      <c r="I331" s="245" t="n">
        <v>802</v>
      </c>
      <c r="J331" s="246" t="n">
        <f aca="false">G331*I331</f>
        <v>9944.8</v>
      </c>
      <c r="K331" s="246" t="n">
        <f aca="false">J331-H331*I331</f>
        <v>5533.8</v>
      </c>
      <c r="L331" s="247" t="n">
        <f aca="false">IF(J331&gt;0,K331/J331,0)</f>
        <v>0.556451612903226</v>
      </c>
    </row>
    <row r="332" customFormat="false" ht="15" hidden="false" customHeight="true" outlineLevel="0" collapsed="false">
      <c r="A332" s="238" t="s">
        <v>414</v>
      </c>
      <c r="B332" s="238" t="s">
        <v>277</v>
      </c>
      <c r="C332" s="238" t="s">
        <v>260</v>
      </c>
      <c r="D332" s="238" t="s">
        <v>383</v>
      </c>
      <c r="E332" s="238" t="s">
        <v>384</v>
      </c>
      <c r="F332" s="238" t="s">
        <v>392</v>
      </c>
      <c r="G332" s="239" t="n">
        <v>14.6</v>
      </c>
      <c r="H332" s="239" t="n">
        <v>5.6</v>
      </c>
      <c r="I332" s="240" t="n">
        <v>2511</v>
      </c>
      <c r="J332" s="241" t="n">
        <f aca="false">G332*I332</f>
        <v>36660.6</v>
      </c>
      <c r="K332" s="241" t="n">
        <f aca="false">J332-H332*I332</f>
        <v>22599</v>
      </c>
      <c r="L332" s="242" t="n">
        <f aca="false">IF(J332&gt;0,K332/J332,0)</f>
        <v>0.616438356164384</v>
      </c>
    </row>
    <row r="333" customFormat="false" ht="15" hidden="false" customHeight="true" outlineLevel="0" collapsed="false">
      <c r="A333" s="243" t="s">
        <v>414</v>
      </c>
      <c r="B333" s="243" t="s">
        <v>277</v>
      </c>
      <c r="C333" s="243" t="s">
        <v>260</v>
      </c>
      <c r="D333" s="243" t="s">
        <v>383</v>
      </c>
      <c r="E333" s="243" t="s">
        <v>386</v>
      </c>
      <c r="F333" s="243" t="s">
        <v>393</v>
      </c>
      <c r="G333" s="244" t="n">
        <v>14.5</v>
      </c>
      <c r="H333" s="244" t="n">
        <v>6.7</v>
      </c>
      <c r="I333" s="245" t="n">
        <v>5211</v>
      </c>
      <c r="J333" s="246" t="n">
        <f aca="false">G333*I333</f>
        <v>75559.5</v>
      </c>
      <c r="K333" s="246" t="n">
        <f aca="false">J333-H333*I333</f>
        <v>40645.8</v>
      </c>
      <c r="L333" s="247" t="n">
        <f aca="false">IF(J333&gt;0,K333/J333,0)</f>
        <v>0.537931034482759</v>
      </c>
    </row>
    <row r="334" customFormat="false" ht="15" hidden="false" customHeight="true" outlineLevel="0" collapsed="false">
      <c r="A334" s="238" t="s">
        <v>414</v>
      </c>
      <c r="B334" s="238" t="s">
        <v>277</v>
      </c>
      <c r="C334" s="238" t="s">
        <v>260</v>
      </c>
      <c r="D334" s="238" t="s">
        <v>383</v>
      </c>
      <c r="E334" s="238" t="s">
        <v>386</v>
      </c>
      <c r="F334" s="238" t="s">
        <v>394</v>
      </c>
      <c r="G334" s="239" t="n">
        <v>15.1</v>
      </c>
      <c r="H334" s="239" t="n">
        <v>6.8</v>
      </c>
      <c r="I334" s="240" t="n">
        <v>2236</v>
      </c>
      <c r="J334" s="241" t="n">
        <f aca="false">G334*I334</f>
        <v>33763.6</v>
      </c>
      <c r="K334" s="241" t="n">
        <f aca="false">J334-H334*I334</f>
        <v>18558.8</v>
      </c>
      <c r="L334" s="242" t="n">
        <f aca="false">IF(J334&gt;0,K334/J334,0)</f>
        <v>0.549668874172186</v>
      </c>
    </row>
    <row r="335" customFormat="false" ht="15" hidden="false" customHeight="true" outlineLevel="0" collapsed="false">
      <c r="A335" s="243" t="s">
        <v>414</v>
      </c>
      <c r="B335" s="243" t="s">
        <v>277</v>
      </c>
      <c r="C335" s="243" t="s">
        <v>260</v>
      </c>
      <c r="D335" s="243" t="s">
        <v>383</v>
      </c>
      <c r="E335" s="243" t="s">
        <v>386</v>
      </c>
      <c r="F335" s="243" t="s">
        <v>395</v>
      </c>
      <c r="G335" s="244" t="n">
        <v>17.5</v>
      </c>
      <c r="H335" s="244" t="n">
        <v>5.9</v>
      </c>
      <c r="I335" s="245" t="n">
        <v>3789</v>
      </c>
      <c r="J335" s="246" t="n">
        <f aca="false">G335*I335</f>
        <v>66307.5</v>
      </c>
      <c r="K335" s="246" t="n">
        <f aca="false">J335-H335*I335</f>
        <v>43952.4</v>
      </c>
      <c r="L335" s="247" t="n">
        <f aca="false">IF(J335&gt;0,K335/J335,0)</f>
        <v>0.662857142857143</v>
      </c>
    </row>
    <row r="336" customFormat="false" ht="15" hidden="false" customHeight="true" outlineLevel="0" collapsed="false">
      <c r="A336" s="238" t="s">
        <v>414</v>
      </c>
      <c r="B336" s="238" t="s">
        <v>277</v>
      </c>
      <c r="C336" s="238" t="s">
        <v>260</v>
      </c>
      <c r="D336" s="238" t="s">
        <v>383</v>
      </c>
      <c r="E336" s="238" t="s">
        <v>384</v>
      </c>
      <c r="F336" s="238" t="s">
        <v>397</v>
      </c>
      <c r="G336" s="239" t="n">
        <v>11.1</v>
      </c>
      <c r="H336" s="239" t="n">
        <v>4.5</v>
      </c>
      <c r="I336" s="240" t="n">
        <v>2961</v>
      </c>
      <c r="J336" s="241" t="n">
        <f aca="false">G336*I336</f>
        <v>32867.1</v>
      </c>
      <c r="K336" s="241" t="n">
        <f aca="false">J336-H336*I336</f>
        <v>19542.6</v>
      </c>
      <c r="L336" s="242" t="n">
        <f aca="false">IF(J336&gt;0,K336/J336,0)</f>
        <v>0.594594594594595</v>
      </c>
    </row>
    <row r="337" customFormat="false" ht="15" hidden="false" customHeight="true" outlineLevel="0" collapsed="false">
      <c r="A337" s="243" t="s">
        <v>414</v>
      </c>
      <c r="B337" s="243" t="s">
        <v>277</v>
      </c>
      <c r="C337" s="243" t="s">
        <v>260</v>
      </c>
      <c r="D337" s="243" t="s">
        <v>383</v>
      </c>
      <c r="E337" s="243" t="s">
        <v>386</v>
      </c>
      <c r="F337" s="243" t="s">
        <v>398</v>
      </c>
      <c r="G337" s="244" t="n">
        <v>21.6</v>
      </c>
      <c r="H337" s="244" t="n">
        <v>7</v>
      </c>
      <c r="I337" s="245" t="n">
        <v>4241</v>
      </c>
      <c r="J337" s="246" t="n">
        <f aca="false">G337*I337</f>
        <v>91605.6</v>
      </c>
      <c r="K337" s="246" t="n">
        <f aca="false">J337-H337*I337</f>
        <v>61918.6</v>
      </c>
      <c r="L337" s="247" t="n">
        <f aca="false">IF(J337&gt;0,K337/J337,0)</f>
        <v>0.675925925925926</v>
      </c>
    </row>
    <row r="338" customFormat="false" ht="15" hidden="false" customHeight="true" outlineLevel="0" collapsed="false">
      <c r="A338" s="238" t="s">
        <v>414</v>
      </c>
      <c r="B338" s="238" t="s">
        <v>277</v>
      </c>
      <c r="C338" s="238" t="s">
        <v>260</v>
      </c>
      <c r="D338" s="238" t="s">
        <v>399</v>
      </c>
      <c r="E338" s="238" t="s">
        <v>401</v>
      </c>
      <c r="F338" s="238" t="s">
        <v>385</v>
      </c>
      <c r="G338" s="239" t="n">
        <v>13.1</v>
      </c>
      <c r="H338" s="239" t="n">
        <v>4</v>
      </c>
      <c r="I338" s="240" t="n">
        <v>3853</v>
      </c>
      <c r="J338" s="241" t="n">
        <f aca="false">G338*I338</f>
        <v>50474.3</v>
      </c>
      <c r="K338" s="241" t="n">
        <f aca="false">J338-H338*I338</f>
        <v>35062.3</v>
      </c>
      <c r="L338" s="242" t="n">
        <f aca="false">IF(J338&gt;0,K338/J338,0)</f>
        <v>0.694656488549618</v>
      </c>
    </row>
    <row r="339" customFormat="false" ht="15" hidden="false" customHeight="true" outlineLevel="0" collapsed="false">
      <c r="A339" s="243" t="s">
        <v>414</v>
      </c>
      <c r="B339" s="243" t="s">
        <v>277</v>
      </c>
      <c r="C339" s="243" t="s">
        <v>260</v>
      </c>
      <c r="D339" s="243" t="s">
        <v>399</v>
      </c>
      <c r="E339" s="243" t="s">
        <v>402</v>
      </c>
      <c r="F339" s="243" t="s">
        <v>387</v>
      </c>
      <c r="G339" s="244" t="n">
        <v>12.5</v>
      </c>
      <c r="H339" s="244" t="n">
        <v>4.2</v>
      </c>
      <c r="I339" s="245" t="n">
        <v>1289</v>
      </c>
      <c r="J339" s="246" t="n">
        <f aca="false">G339*I339</f>
        <v>16112.5</v>
      </c>
      <c r="K339" s="246" t="n">
        <f aca="false">J339-H339*I339</f>
        <v>10698.7</v>
      </c>
      <c r="L339" s="247" t="n">
        <f aca="false">IF(J339&gt;0,K339/J339,0)</f>
        <v>0.664</v>
      </c>
    </row>
    <row r="340" customFormat="false" ht="15" hidden="false" customHeight="true" outlineLevel="0" collapsed="false">
      <c r="A340" s="238" t="s">
        <v>414</v>
      </c>
      <c r="B340" s="238" t="s">
        <v>277</v>
      </c>
      <c r="C340" s="238" t="s">
        <v>260</v>
      </c>
      <c r="D340" s="238" t="s">
        <v>399</v>
      </c>
      <c r="E340" s="238" t="s">
        <v>400</v>
      </c>
      <c r="F340" s="238" t="s">
        <v>388</v>
      </c>
      <c r="G340" s="239" t="n">
        <v>14.2</v>
      </c>
      <c r="H340" s="239" t="n">
        <v>4.8</v>
      </c>
      <c r="I340" s="240" t="n">
        <v>1054</v>
      </c>
      <c r="J340" s="241" t="n">
        <f aca="false">G340*I340</f>
        <v>14966.8</v>
      </c>
      <c r="K340" s="241" t="n">
        <f aca="false">J340-H340*I340</f>
        <v>9907.6</v>
      </c>
      <c r="L340" s="242" t="n">
        <f aca="false">IF(J340&gt;0,K340/J340,0)</f>
        <v>0.661971830985915</v>
      </c>
    </row>
    <row r="341" customFormat="false" ht="15" hidden="false" customHeight="true" outlineLevel="0" collapsed="false">
      <c r="A341" s="243" t="s">
        <v>414</v>
      </c>
      <c r="B341" s="243" t="s">
        <v>277</v>
      </c>
      <c r="C341" s="243" t="s">
        <v>260</v>
      </c>
      <c r="D341" s="243" t="s">
        <v>399</v>
      </c>
      <c r="E341" s="243" t="s">
        <v>402</v>
      </c>
      <c r="F341" s="243" t="s">
        <v>389</v>
      </c>
      <c r="G341" s="244" t="n">
        <v>23.2</v>
      </c>
      <c r="H341" s="244" t="n">
        <v>6.8</v>
      </c>
      <c r="I341" s="245" t="n">
        <v>1684</v>
      </c>
      <c r="J341" s="246" t="n">
        <f aca="false">G341*I341</f>
        <v>39068.8</v>
      </c>
      <c r="K341" s="246" t="n">
        <f aca="false">J341-H341*I341</f>
        <v>27617.6</v>
      </c>
      <c r="L341" s="247" t="n">
        <f aca="false">IF(J341&gt;0,K341/J341,0)</f>
        <v>0.706896551724138</v>
      </c>
    </row>
    <row r="342" customFormat="false" ht="15" hidden="false" customHeight="true" outlineLevel="0" collapsed="false">
      <c r="A342" s="238" t="s">
        <v>414</v>
      </c>
      <c r="B342" s="238" t="s">
        <v>277</v>
      </c>
      <c r="C342" s="238" t="s">
        <v>260</v>
      </c>
      <c r="D342" s="238" t="s">
        <v>399</v>
      </c>
      <c r="E342" s="238" t="s">
        <v>400</v>
      </c>
      <c r="F342" s="238" t="s">
        <v>390</v>
      </c>
      <c r="G342" s="239" t="n">
        <v>13.6</v>
      </c>
      <c r="H342" s="239" t="n">
        <v>4.8</v>
      </c>
      <c r="I342" s="240" t="n">
        <v>2462</v>
      </c>
      <c r="J342" s="241" t="n">
        <f aca="false">G342*I342</f>
        <v>33483.2</v>
      </c>
      <c r="K342" s="241" t="n">
        <f aca="false">J342-H342*I342</f>
        <v>21665.6</v>
      </c>
      <c r="L342" s="242" t="n">
        <f aca="false">IF(J342&gt;0,K342/J342,0)</f>
        <v>0.647058823529412</v>
      </c>
    </row>
    <row r="343" customFormat="false" ht="15" hidden="false" customHeight="true" outlineLevel="0" collapsed="false">
      <c r="A343" s="243" t="s">
        <v>414</v>
      </c>
      <c r="B343" s="243" t="s">
        <v>277</v>
      </c>
      <c r="C343" s="243" t="s">
        <v>260</v>
      </c>
      <c r="D343" s="243" t="s">
        <v>399</v>
      </c>
      <c r="E343" s="243" t="s">
        <v>402</v>
      </c>
      <c r="F343" s="243" t="s">
        <v>391</v>
      </c>
      <c r="G343" s="244" t="n">
        <v>16.9</v>
      </c>
      <c r="H343" s="244" t="n">
        <v>6.9</v>
      </c>
      <c r="I343" s="245" t="n">
        <v>4678</v>
      </c>
      <c r="J343" s="246" t="n">
        <f aca="false">G343*I343</f>
        <v>79058.2</v>
      </c>
      <c r="K343" s="246" t="n">
        <f aca="false">J343-H343*I343</f>
        <v>46780</v>
      </c>
      <c r="L343" s="247" t="n">
        <f aca="false">IF(J343&gt;0,K343/J343,0)</f>
        <v>0.591715976331361</v>
      </c>
    </row>
    <row r="344" customFormat="false" ht="15" hidden="false" customHeight="true" outlineLevel="0" collapsed="false">
      <c r="A344" s="238" t="s">
        <v>414</v>
      </c>
      <c r="B344" s="238" t="s">
        <v>277</v>
      </c>
      <c r="C344" s="238" t="s">
        <v>260</v>
      </c>
      <c r="D344" s="238" t="s">
        <v>399</v>
      </c>
      <c r="E344" s="238" t="s">
        <v>402</v>
      </c>
      <c r="F344" s="238" t="s">
        <v>392</v>
      </c>
      <c r="G344" s="239" t="n">
        <v>11.9</v>
      </c>
      <c r="H344" s="239" t="n">
        <v>4.3</v>
      </c>
      <c r="I344" s="240" t="n">
        <v>1263</v>
      </c>
      <c r="J344" s="241" t="n">
        <f aca="false">G344*I344</f>
        <v>15029.7</v>
      </c>
      <c r="K344" s="241" t="n">
        <f aca="false">J344-H344*I344</f>
        <v>9598.8</v>
      </c>
      <c r="L344" s="242" t="n">
        <f aca="false">IF(J344&gt;0,K344/J344,0)</f>
        <v>0.638655462184874</v>
      </c>
    </row>
    <row r="345" customFormat="false" ht="15" hidden="false" customHeight="true" outlineLevel="0" collapsed="false">
      <c r="A345" s="243" t="s">
        <v>414</v>
      </c>
      <c r="B345" s="243" t="s">
        <v>277</v>
      </c>
      <c r="C345" s="243" t="s">
        <v>260</v>
      </c>
      <c r="D345" s="243" t="s">
        <v>399</v>
      </c>
      <c r="E345" s="243" t="s">
        <v>401</v>
      </c>
      <c r="F345" s="243" t="s">
        <v>393</v>
      </c>
      <c r="G345" s="244" t="n">
        <v>15</v>
      </c>
      <c r="H345" s="244" t="n">
        <v>6.5</v>
      </c>
      <c r="I345" s="245" t="n">
        <v>1216</v>
      </c>
      <c r="J345" s="246" t="n">
        <f aca="false">G345*I345</f>
        <v>18240</v>
      </c>
      <c r="K345" s="246" t="n">
        <f aca="false">J345-H345*I345</f>
        <v>10336</v>
      </c>
      <c r="L345" s="247" t="n">
        <f aca="false">IF(J345&gt;0,K345/J345,0)</f>
        <v>0.566666666666667</v>
      </c>
    </row>
    <row r="346" customFormat="false" ht="15" hidden="false" customHeight="true" outlineLevel="0" collapsed="false">
      <c r="A346" s="238" t="s">
        <v>414</v>
      </c>
      <c r="B346" s="238" t="s">
        <v>277</v>
      </c>
      <c r="C346" s="238" t="s">
        <v>260</v>
      </c>
      <c r="D346" s="238" t="s">
        <v>399</v>
      </c>
      <c r="E346" s="238" t="s">
        <v>401</v>
      </c>
      <c r="F346" s="238" t="s">
        <v>394</v>
      </c>
      <c r="G346" s="239" t="n">
        <v>11.9</v>
      </c>
      <c r="H346" s="239" t="n">
        <v>4.6</v>
      </c>
      <c r="I346" s="240" t="n">
        <v>3205</v>
      </c>
      <c r="J346" s="241" t="n">
        <f aca="false">G346*I346</f>
        <v>38139.5</v>
      </c>
      <c r="K346" s="241" t="n">
        <f aca="false">J346-H346*I346</f>
        <v>23396.5</v>
      </c>
      <c r="L346" s="242" t="n">
        <f aca="false">IF(J346&gt;0,K346/J346,0)</f>
        <v>0.613445378151261</v>
      </c>
    </row>
    <row r="347" customFormat="false" ht="15" hidden="false" customHeight="true" outlineLevel="0" collapsed="false">
      <c r="A347" s="243" t="s">
        <v>414</v>
      </c>
      <c r="B347" s="243" t="s">
        <v>277</v>
      </c>
      <c r="C347" s="243" t="s">
        <v>260</v>
      </c>
      <c r="D347" s="243" t="s">
        <v>399</v>
      </c>
      <c r="E347" s="243" t="s">
        <v>400</v>
      </c>
      <c r="F347" s="243" t="s">
        <v>395</v>
      </c>
      <c r="G347" s="244" t="n">
        <v>19.7</v>
      </c>
      <c r="H347" s="244" t="n">
        <v>6.7</v>
      </c>
      <c r="I347" s="245" t="n">
        <v>3617</v>
      </c>
      <c r="J347" s="246" t="n">
        <f aca="false">G347*I347</f>
        <v>71254.9</v>
      </c>
      <c r="K347" s="246" t="n">
        <f aca="false">J347-H347*I347</f>
        <v>47021</v>
      </c>
      <c r="L347" s="247" t="n">
        <f aca="false">IF(J347&gt;0,K347/J347,0)</f>
        <v>0.65989847715736</v>
      </c>
    </row>
    <row r="348" customFormat="false" ht="15" hidden="false" customHeight="true" outlineLevel="0" collapsed="false">
      <c r="A348" s="238" t="s">
        <v>414</v>
      </c>
      <c r="B348" s="238" t="s">
        <v>277</v>
      </c>
      <c r="C348" s="238" t="s">
        <v>260</v>
      </c>
      <c r="D348" s="238" t="s">
        <v>399</v>
      </c>
      <c r="E348" s="238" t="s">
        <v>400</v>
      </c>
      <c r="F348" s="238" t="s">
        <v>397</v>
      </c>
      <c r="G348" s="239" t="n">
        <v>18.2</v>
      </c>
      <c r="H348" s="239" t="n">
        <v>6.5</v>
      </c>
      <c r="I348" s="240" t="n">
        <v>2624</v>
      </c>
      <c r="J348" s="241" t="n">
        <f aca="false">G348*I348</f>
        <v>47756.8</v>
      </c>
      <c r="K348" s="241" t="n">
        <f aca="false">J348-H348*I348</f>
        <v>30700.8</v>
      </c>
      <c r="L348" s="242" t="n">
        <f aca="false">IF(J348&gt;0,K348/J348,0)</f>
        <v>0.642857142857143</v>
      </c>
    </row>
    <row r="349" customFormat="false" ht="15" hidden="false" customHeight="true" outlineLevel="0" collapsed="false">
      <c r="A349" s="243" t="s">
        <v>414</v>
      </c>
      <c r="B349" s="243" t="s">
        <v>277</v>
      </c>
      <c r="C349" s="243" t="s">
        <v>260</v>
      </c>
      <c r="D349" s="243" t="s">
        <v>399</v>
      </c>
      <c r="E349" s="243" t="s">
        <v>400</v>
      </c>
      <c r="F349" s="243" t="s">
        <v>398</v>
      </c>
      <c r="G349" s="244" t="n">
        <v>20</v>
      </c>
      <c r="H349" s="244" t="n">
        <v>6.1</v>
      </c>
      <c r="I349" s="245" t="n">
        <v>2467</v>
      </c>
      <c r="J349" s="246" t="n">
        <f aca="false">G349*I349</f>
        <v>49340</v>
      </c>
      <c r="K349" s="246" t="n">
        <f aca="false">J349-H349*I349</f>
        <v>34291.3</v>
      </c>
      <c r="L349" s="247" t="n">
        <f aca="false">IF(J349&gt;0,K349/J349,0)</f>
        <v>0.695</v>
      </c>
    </row>
    <row r="350" customFormat="false" ht="15" hidden="false" customHeight="true" outlineLevel="0" collapsed="false">
      <c r="A350" s="238" t="s">
        <v>414</v>
      </c>
      <c r="B350" s="238" t="s">
        <v>277</v>
      </c>
      <c r="C350" s="238" t="s">
        <v>260</v>
      </c>
      <c r="D350" s="238" t="s">
        <v>403</v>
      </c>
      <c r="E350" s="238" t="s">
        <v>404</v>
      </c>
      <c r="F350" s="238" t="s">
        <v>385</v>
      </c>
      <c r="G350" s="239" t="n">
        <v>15.6</v>
      </c>
      <c r="H350" s="239" t="n">
        <v>4.7</v>
      </c>
      <c r="I350" s="240" t="n">
        <v>2633</v>
      </c>
      <c r="J350" s="241" t="n">
        <f aca="false">G350*I350</f>
        <v>41074.8</v>
      </c>
      <c r="K350" s="241" t="n">
        <f aca="false">J350-H350*I350</f>
        <v>28699.7</v>
      </c>
      <c r="L350" s="242" t="n">
        <f aca="false">IF(J350&gt;0,K350/J350,0)</f>
        <v>0.698717948717949</v>
      </c>
    </row>
    <row r="351" customFormat="false" ht="15" hidden="false" customHeight="true" outlineLevel="0" collapsed="false">
      <c r="A351" s="243" t="s">
        <v>414</v>
      </c>
      <c r="B351" s="243" t="s">
        <v>277</v>
      </c>
      <c r="C351" s="243" t="s">
        <v>260</v>
      </c>
      <c r="D351" s="243" t="s">
        <v>403</v>
      </c>
      <c r="E351" s="243" t="s">
        <v>406</v>
      </c>
      <c r="F351" s="243" t="s">
        <v>387</v>
      </c>
      <c r="G351" s="244" t="n">
        <v>12.5</v>
      </c>
      <c r="H351" s="244" t="n">
        <v>5.9</v>
      </c>
      <c r="I351" s="245" t="n">
        <v>2989</v>
      </c>
      <c r="J351" s="246" t="n">
        <f aca="false">G351*I351</f>
        <v>37362.5</v>
      </c>
      <c r="K351" s="246" t="n">
        <f aca="false">J351-H351*I351</f>
        <v>19727.4</v>
      </c>
      <c r="L351" s="247" t="n">
        <f aca="false">IF(J351&gt;0,K351/J351,0)</f>
        <v>0.528</v>
      </c>
    </row>
    <row r="352" customFormat="false" ht="15" hidden="false" customHeight="true" outlineLevel="0" collapsed="false">
      <c r="A352" s="238" t="s">
        <v>414</v>
      </c>
      <c r="B352" s="238" t="s">
        <v>277</v>
      </c>
      <c r="C352" s="238" t="s">
        <v>260</v>
      </c>
      <c r="D352" s="238" t="s">
        <v>403</v>
      </c>
      <c r="E352" s="238" t="s">
        <v>406</v>
      </c>
      <c r="F352" s="238" t="s">
        <v>388</v>
      </c>
      <c r="G352" s="239" t="n">
        <v>8.9</v>
      </c>
      <c r="H352" s="239" t="n">
        <v>4.1</v>
      </c>
      <c r="I352" s="240" t="n">
        <v>2144</v>
      </c>
      <c r="J352" s="241" t="n">
        <f aca="false">G352*I352</f>
        <v>19081.6</v>
      </c>
      <c r="K352" s="241" t="n">
        <f aca="false">J352-H352*I352</f>
        <v>10291.2</v>
      </c>
      <c r="L352" s="242" t="n">
        <f aca="false">IF(J352&gt;0,K352/J352,0)</f>
        <v>0.539325842696629</v>
      </c>
    </row>
    <row r="353" customFormat="false" ht="15" hidden="false" customHeight="true" outlineLevel="0" collapsed="false">
      <c r="A353" s="243" t="s">
        <v>414</v>
      </c>
      <c r="B353" s="243" t="s">
        <v>277</v>
      </c>
      <c r="C353" s="243" t="s">
        <v>260</v>
      </c>
      <c r="D353" s="243" t="s">
        <v>403</v>
      </c>
      <c r="E353" s="243" t="s">
        <v>406</v>
      </c>
      <c r="F353" s="243" t="s">
        <v>389</v>
      </c>
      <c r="G353" s="244" t="n">
        <v>11.1</v>
      </c>
      <c r="H353" s="244" t="n">
        <v>5</v>
      </c>
      <c r="I353" s="245" t="n">
        <v>409</v>
      </c>
      <c r="J353" s="246" t="n">
        <f aca="false">G353*I353</f>
        <v>4539.9</v>
      </c>
      <c r="K353" s="246" t="n">
        <f aca="false">J353-H353*I353</f>
        <v>2494.9</v>
      </c>
      <c r="L353" s="247" t="n">
        <f aca="false">IF(J353&gt;0,K353/J353,0)</f>
        <v>0.54954954954955</v>
      </c>
    </row>
    <row r="354" customFormat="false" ht="15" hidden="false" customHeight="true" outlineLevel="0" collapsed="false">
      <c r="A354" s="238" t="s">
        <v>414</v>
      </c>
      <c r="B354" s="238" t="s">
        <v>277</v>
      </c>
      <c r="C354" s="238" t="s">
        <v>260</v>
      </c>
      <c r="D354" s="238" t="s">
        <v>403</v>
      </c>
      <c r="E354" s="238" t="s">
        <v>406</v>
      </c>
      <c r="F354" s="238" t="s">
        <v>390</v>
      </c>
      <c r="G354" s="239" t="n">
        <v>13</v>
      </c>
      <c r="H354" s="239" t="n">
        <v>4.4</v>
      </c>
      <c r="I354" s="240" t="n">
        <v>449</v>
      </c>
      <c r="J354" s="241" t="n">
        <f aca="false">G354*I354</f>
        <v>5837</v>
      </c>
      <c r="K354" s="241" t="n">
        <f aca="false">J354-H354*I354</f>
        <v>3861.4</v>
      </c>
      <c r="L354" s="242" t="n">
        <f aca="false">IF(J354&gt;0,K354/J354,0)</f>
        <v>0.661538461538462</v>
      </c>
    </row>
    <row r="355" customFormat="false" ht="15" hidden="false" customHeight="true" outlineLevel="0" collapsed="false">
      <c r="A355" s="243" t="s">
        <v>414</v>
      </c>
      <c r="B355" s="243" t="s">
        <v>277</v>
      </c>
      <c r="C355" s="243" t="s">
        <v>260</v>
      </c>
      <c r="D355" s="243" t="s">
        <v>403</v>
      </c>
      <c r="E355" s="243" t="s">
        <v>404</v>
      </c>
      <c r="F355" s="243" t="s">
        <v>391</v>
      </c>
      <c r="G355" s="244" t="n">
        <v>13</v>
      </c>
      <c r="H355" s="244" t="n">
        <v>6.2</v>
      </c>
      <c r="I355" s="245" t="n">
        <v>2052</v>
      </c>
      <c r="J355" s="246" t="n">
        <f aca="false">G355*I355</f>
        <v>26676</v>
      </c>
      <c r="K355" s="246" t="n">
        <f aca="false">J355-H355*I355</f>
        <v>13953.6</v>
      </c>
      <c r="L355" s="247" t="n">
        <f aca="false">IF(J355&gt;0,K355/J355,0)</f>
        <v>0.523076923076923</v>
      </c>
    </row>
    <row r="356" customFormat="false" ht="15" hidden="false" customHeight="true" outlineLevel="0" collapsed="false">
      <c r="A356" s="238" t="s">
        <v>414</v>
      </c>
      <c r="B356" s="238" t="s">
        <v>277</v>
      </c>
      <c r="C356" s="238" t="s">
        <v>260</v>
      </c>
      <c r="D356" s="238" t="s">
        <v>403</v>
      </c>
      <c r="E356" s="238" t="s">
        <v>405</v>
      </c>
      <c r="F356" s="238" t="s">
        <v>392</v>
      </c>
      <c r="G356" s="239" t="n">
        <v>15.8</v>
      </c>
      <c r="H356" s="239" t="n">
        <v>4.6</v>
      </c>
      <c r="I356" s="240" t="n">
        <v>1886</v>
      </c>
      <c r="J356" s="241" t="n">
        <f aca="false">G356*I356</f>
        <v>29798.8</v>
      </c>
      <c r="K356" s="241" t="n">
        <f aca="false">J356-H356*I356</f>
        <v>21123.2</v>
      </c>
      <c r="L356" s="242" t="n">
        <f aca="false">IF(J356&gt;0,K356/J356,0)</f>
        <v>0.708860759493671</v>
      </c>
    </row>
    <row r="357" customFormat="false" ht="15" hidden="false" customHeight="true" outlineLevel="0" collapsed="false">
      <c r="A357" s="243" t="s">
        <v>414</v>
      </c>
      <c r="B357" s="243" t="s">
        <v>277</v>
      </c>
      <c r="C357" s="243" t="s">
        <v>260</v>
      </c>
      <c r="D357" s="243" t="s">
        <v>403</v>
      </c>
      <c r="E357" s="243" t="s">
        <v>404</v>
      </c>
      <c r="F357" s="243" t="s">
        <v>393</v>
      </c>
      <c r="G357" s="244" t="n">
        <v>13.9</v>
      </c>
      <c r="H357" s="244" t="n">
        <v>4.2</v>
      </c>
      <c r="I357" s="245" t="n">
        <v>2999</v>
      </c>
      <c r="J357" s="246" t="n">
        <f aca="false">G357*I357</f>
        <v>41686.1</v>
      </c>
      <c r="K357" s="246" t="n">
        <f aca="false">J357-H357*I357</f>
        <v>29090.3</v>
      </c>
      <c r="L357" s="247" t="n">
        <f aca="false">IF(J357&gt;0,K357/J357,0)</f>
        <v>0.697841726618705</v>
      </c>
    </row>
    <row r="358" customFormat="false" ht="15" hidden="false" customHeight="true" outlineLevel="0" collapsed="false">
      <c r="A358" s="238" t="s">
        <v>414</v>
      </c>
      <c r="B358" s="238" t="s">
        <v>277</v>
      </c>
      <c r="C358" s="238" t="s">
        <v>260</v>
      </c>
      <c r="D358" s="238" t="s">
        <v>403</v>
      </c>
      <c r="E358" s="238" t="s">
        <v>406</v>
      </c>
      <c r="F358" s="238" t="s">
        <v>394</v>
      </c>
      <c r="G358" s="239" t="n">
        <v>9.9</v>
      </c>
      <c r="H358" s="239" t="n">
        <v>4.3</v>
      </c>
      <c r="I358" s="240" t="n">
        <v>652</v>
      </c>
      <c r="J358" s="241" t="n">
        <f aca="false">G358*I358</f>
        <v>6454.8</v>
      </c>
      <c r="K358" s="241" t="n">
        <f aca="false">J358-H358*I358</f>
        <v>3651.2</v>
      </c>
      <c r="L358" s="242" t="n">
        <f aca="false">IF(J358&gt;0,K358/J358,0)</f>
        <v>0.565656565656566</v>
      </c>
    </row>
    <row r="359" customFormat="false" ht="15" hidden="false" customHeight="true" outlineLevel="0" collapsed="false">
      <c r="A359" s="243" t="s">
        <v>414</v>
      </c>
      <c r="B359" s="243" t="s">
        <v>277</v>
      </c>
      <c r="C359" s="243" t="s">
        <v>260</v>
      </c>
      <c r="D359" s="243" t="s">
        <v>403</v>
      </c>
      <c r="E359" s="243" t="s">
        <v>406</v>
      </c>
      <c r="F359" s="243" t="s">
        <v>395</v>
      </c>
      <c r="G359" s="244" t="n">
        <v>22.9</v>
      </c>
      <c r="H359" s="244" t="n">
        <v>6.8</v>
      </c>
      <c r="I359" s="245" t="n">
        <v>2529</v>
      </c>
      <c r="J359" s="246" t="n">
        <f aca="false">G359*I359</f>
        <v>57914.1</v>
      </c>
      <c r="K359" s="246" t="n">
        <f aca="false">J359-H359*I359</f>
        <v>40716.9</v>
      </c>
      <c r="L359" s="247" t="n">
        <f aca="false">IF(J359&gt;0,K359/J359,0)</f>
        <v>0.703056768558952</v>
      </c>
    </row>
    <row r="360" customFormat="false" ht="15" hidden="false" customHeight="true" outlineLevel="0" collapsed="false">
      <c r="A360" s="238" t="s">
        <v>414</v>
      </c>
      <c r="B360" s="238" t="s">
        <v>277</v>
      </c>
      <c r="C360" s="238" t="s">
        <v>260</v>
      </c>
      <c r="D360" s="238" t="s">
        <v>403</v>
      </c>
      <c r="E360" s="238" t="s">
        <v>406</v>
      </c>
      <c r="F360" s="238" t="s">
        <v>397</v>
      </c>
      <c r="G360" s="239" t="n">
        <v>19.2</v>
      </c>
      <c r="H360" s="239" t="n">
        <v>6.5</v>
      </c>
      <c r="I360" s="240" t="n">
        <v>1165</v>
      </c>
      <c r="J360" s="241" t="n">
        <f aca="false">G360*I360</f>
        <v>22368</v>
      </c>
      <c r="K360" s="241" t="n">
        <f aca="false">J360-H360*I360</f>
        <v>14795.5</v>
      </c>
      <c r="L360" s="242" t="n">
        <f aca="false">IF(J360&gt;0,K360/J360,0)</f>
        <v>0.661458333333333</v>
      </c>
    </row>
    <row r="361" customFormat="false" ht="15" hidden="false" customHeight="true" outlineLevel="0" collapsed="false">
      <c r="A361" s="243" t="s">
        <v>414</v>
      </c>
      <c r="B361" s="243" t="s">
        <v>277</v>
      </c>
      <c r="C361" s="243" t="s">
        <v>260</v>
      </c>
      <c r="D361" s="243" t="s">
        <v>403</v>
      </c>
      <c r="E361" s="243" t="s">
        <v>404</v>
      </c>
      <c r="F361" s="243" t="s">
        <v>398</v>
      </c>
      <c r="G361" s="244" t="n">
        <v>14</v>
      </c>
      <c r="H361" s="244" t="n">
        <v>4.4</v>
      </c>
      <c r="I361" s="245" t="n">
        <v>2215</v>
      </c>
      <c r="J361" s="246" t="n">
        <f aca="false">G361*I361</f>
        <v>31010</v>
      </c>
      <c r="K361" s="246" t="n">
        <f aca="false">J361-H361*I361</f>
        <v>21264</v>
      </c>
      <c r="L361" s="247" t="n">
        <f aca="false">IF(J361&gt;0,K361/J361,0)</f>
        <v>0.685714285714286</v>
      </c>
    </row>
    <row r="362" customFormat="false" ht="15" hidden="false" customHeight="true" outlineLevel="0" collapsed="false">
      <c r="A362" s="238" t="s">
        <v>415</v>
      </c>
      <c r="B362" s="238" t="s">
        <v>283</v>
      </c>
      <c r="C362" s="238" t="s">
        <v>260</v>
      </c>
      <c r="D362" s="238" t="s">
        <v>383</v>
      </c>
      <c r="E362" s="238" t="s">
        <v>396</v>
      </c>
      <c r="F362" s="238" t="s">
        <v>385</v>
      </c>
      <c r="G362" s="239" t="n">
        <v>9.5</v>
      </c>
      <c r="H362" s="239" t="n">
        <v>3.6</v>
      </c>
      <c r="I362" s="240" t="n">
        <v>950</v>
      </c>
      <c r="J362" s="241" t="n">
        <f aca="false">G362*I362</f>
        <v>9025</v>
      </c>
      <c r="K362" s="241" t="n">
        <f aca="false">J362-H362*I362</f>
        <v>5605</v>
      </c>
      <c r="L362" s="242" t="n">
        <f aca="false">IF(J362&gt;0,K362/J362,0)</f>
        <v>0.621052631578947</v>
      </c>
    </row>
    <row r="363" customFormat="false" ht="15" hidden="false" customHeight="true" outlineLevel="0" collapsed="false">
      <c r="A363" s="243" t="s">
        <v>415</v>
      </c>
      <c r="B363" s="243" t="s">
        <v>283</v>
      </c>
      <c r="C363" s="243" t="s">
        <v>260</v>
      </c>
      <c r="D363" s="243" t="s">
        <v>383</v>
      </c>
      <c r="E363" s="243" t="s">
        <v>396</v>
      </c>
      <c r="F363" s="243" t="s">
        <v>387</v>
      </c>
      <c r="G363" s="244" t="n">
        <v>10.2</v>
      </c>
      <c r="H363" s="244" t="n">
        <v>4.9</v>
      </c>
      <c r="I363" s="245" t="n">
        <v>6270</v>
      </c>
      <c r="J363" s="246" t="n">
        <f aca="false">G363*I363</f>
        <v>63954</v>
      </c>
      <c r="K363" s="246" t="n">
        <f aca="false">J363-H363*I363</f>
        <v>33231</v>
      </c>
      <c r="L363" s="247" t="n">
        <f aca="false">IF(J363&gt;0,K363/J363,0)</f>
        <v>0.519607843137255</v>
      </c>
    </row>
    <row r="364" customFormat="false" ht="15" hidden="false" customHeight="true" outlineLevel="0" collapsed="false">
      <c r="A364" s="238" t="s">
        <v>415</v>
      </c>
      <c r="B364" s="238" t="s">
        <v>283</v>
      </c>
      <c r="C364" s="238" t="s">
        <v>260</v>
      </c>
      <c r="D364" s="238" t="s">
        <v>383</v>
      </c>
      <c r="E364" s="238" t="s">
        <v>396</v>
      </c>
      <c r="F364" s="238" t="s">
        <v>388</v>
      </c>
      <c r="G364" s="239" t="n">
        <v>13.1</v>
      </c>
      <c r="H364" s="239" t="n">
        <v>4.5</v>
      </c>
      <c r="I364" s="240" t="n">
        <v>4227</v>
      </c>
      <c r="J364" s="241" t="n">
        <f aca="false">G364*I364</f>
        <v>55373.7</v>
      </c>
      <c r="K364" s="241" t="n">
        <f aca="false">J364-H364*I364</f>
        <v>36352.2</v>
      </c>
      <c r="L364" s="242" t="n">
        <f aca="false">IF(J364&gt;0,K364/J364,0)</f>
        <v>0.656488549618321</v>
      </c>
    </row>
    <row r="365" customFormat="false" ht="15" hidden="false" customHeight="true" outlineLevel="0" collapsed="false">
      <c r="A365" s="243" t="s">
        <v>415</v>
      </c>
      <c r="B365" s="243" t="s">
        <v>283</v>
      </c>
      <c r="C365" s="243" t="s">
        <v>260</v>
      </c>
      <c r="D365" s="243" t="s">
        <v>383</v>
      </c>
      <c r="E365" s="243" t="s">
        <v>396</v>
      </c>
      <c r="F365" s="243" t="s">
        <v>389</v>
      </c>
      <c r="G365" s="244" t="n">
        <v>8.6</v>
      </c>
      <c r="H365" s="244" t="n">
        <v>4.2</v>
      </c>
      <c r="I365" s="245" t="n">
        <v>3773</v>
      </c>
      <c r="J365" s="246" t="n">
        <f aca="false">G365*I365</f>
        <v>32447.8</v>
      </c>
      <c r="K365" s="246" t="n">
        <f aca="false">J365-H365*I365</f>
        <v>16601.2</v>
      </c>
      <c r="L365" s="247" t="n">
        <f aca="false">IF(J365&gt;0,K365/J365,0)</f>
        <v>0.511627906976744</v>
      </c>
    </row>
    <row r="366" customFormat="false" ht="15" hidden="false" customHeight="true" outlineLevel="0" collapsed="false">
      <c r="A366" s="238" t="s">
        <v>415</v>
      </c>
      <c r="B366" s="238" t="s">
        <v>283</v>
      </c>
      <c r="C366" s="238" t="s">
        <v>260</v>
      </c>
      <c r="D366" s="238" t="s">
        <v>383</v>
      </c>
      <c r="E366" s="238" t="s">
        <v>384</v>
      </c>
      <c r="F366" s="238" t="s">
        <v>390</v>
      </c>
      <c r="G366" s="239" t="n">
        <v>8.6</v>
      </c>
      <c r="H366" s="239" t="n">
        <v>4</v>
      </c>
      <c r="I366" s="240" t="n">
        <v>4176</v>
      </c>
      <c r="J366" s="241" t="n">
        <f aca="false">G366*I366</f>
        <v>35913.6</v>
      </c>
      <c r="K366" s="241" t="n">
        <f aca="false">J366-H366*I366</f>
        <v>19209.6</v>
      </c>
      <c r="L366" s="242" t="n">
        <f aca="false">IF(J366&gt;0,K366/J366,0)</f>
        <v>0.534883720930233</v>
      </c>
    </row>
    <row r="367" customFormat="false" ht="15" hidden="false" customHeight="true" outlineLevel="0" collapsed="false">
      <c r="A367" s="243" t="s">
        <v>415</v>
      </c>
      <c r="B367" s="243" t="s">
        <v>283</v>
      </c>
      <c r="C367" s="243" t="s">
        <v>260</v>
      </c>
      <c r="D367" s="243" t="s">
        <v>383</v>
      </c>
      <c r="E367" s="243" t="s">
        <v>384</v>
      </c>
      <c r="F367" s="243" t="s">
        <v>391</v>
      </c>
      <c r="G367" s="244" t="n">
        <v>9.5</v>
      </c>
      <c r="H367" s="244" t="n">
        <v>4.1</v>
      </c>
      <c r="I367" s="245" t="n">
        <v>7008</v>
      </c>
      <c r="J367" s="246" t="n">
        <f aca="false">G367*I367</f>
        <v>66576</v>
      </c>
      <c r="K367" s="246" t="n">
        <f aca="false">J367-H367*I367</f>
        <v>37843.2</v>
      </c>
      <c r="L367" s="247" t="n">
        <f aca="false">IF(J367&gt;0,K367/J367,0)</f>
        <v>0.568421052631579</v>
      </c>
    </row>
    <row r="368" customFormat="false" ht="15" hidden="false" customHeight="true" outlineLevel="0" collapsed="false">
      <c r="A368" s="238" t="s">
        <v>415</v>
      </c>
      <c r="B368" s="238" t="s">
        <v>283</v>
      </c>
      <c r="C368" s="238" t="s">
        <v>260</v>
      </c>
      <c r="D368" s="238" t="s">
        <v>383</v>
      </c>
      <c r="E368" s="238" t="s">
        <v>386</v>
      </c>
      <c r="F368" s="238" t="s">
        <v>392</v>
      </c>
      <c r="G368" s="239" t="n">
        <v>10</v>
      </c>
      <c r="H368" s="239" t="n">
        <v>4.1</v>
      </c>
      <c r="I368" s="240" t="n">
        <v>3939</v>
      </c>
      <c r="J368" s="241" t="n">
        <f aca="false">G368*I368</f>
        <v>39390</v>
      </c>
      <c r="K368" s="241" t="n">
        <f aca="false">J368-H368*I368</f>
        <v>23240.1</v>
      </c>
      <c r="L368" s="242" t="n">
        <f aca="false">IF(J368&gt;0,K368/J368,0)</f>
        <v>0.59</v>
      </c>
    </row>
    <row r="369" customFormat="false" ht="15" hidden="false" customHeight="true" outlineLevel="0" collapsed="false">
      <c r="A369" s="243" t="s">
        <v>415</v>
      </c>
      <c r="B369" s="243" t="s">
        <v>283</v>
      </c>
      <c r="C369" s="243" t="s">
        <v>260</v>
      </c>
      <c r="D369" s="243" t="s">
        <v>383</v>
      </c>
      <c r="E369" s="243" t="s">
        <v>384</v>
      </c>
      <c r="F369" s="243" t="s">
        <v>393</v>
      </c>
      <c r="G369" s="244" t="n">
        <v>10.7</v>
      </c>
      <c r="H369" s="244" t="n">
        <v>3.4</v>
      </c>
      <c r="I369" s="245" t="n">
        <v>7840</v>
      </c>
      <c r="J369" s="246" t="n">
        <f aca="false">G369*I369</f>
        <v>83888</v>
      </c>
      <c r="K369" s="246" t="n">
        <f aca="false">J369-H369*I369</f>
        <v>57232</v>
      </c>
      <c r="L369" s="247" t="n">
        <f aca="false">IF(J369&gt;0,K369/J369,0)</f>
        <v>0.682242990654206</v>
      </c>
    </row>
    <row r="370" customFormat="false" ht="15" hidden="false" customHeight="true" outlineLevel="0" collapsed="false">
      <c r="A370" s="238" t="s">
        <v>415</v>
      </c>
      <c r="B370" s="238" t="s">
        <v>283</v>
      </c>
      <c r="C370" s="238" t="s">
        <v>260</v>
      </c>
      <c r="D370" s="238" t="s">
        <v>383</v>
      </c>
      <c r="E370" s="238" t="s">
        <v>384</v>
      </c>
      <c r="F370" s="238" t="s">
        <v>394</v>
      </c>
      <c r="G370" s="239" t="n">
        <v>7.9</v>
      </c>
      <c r="H370" s="239" t="n">
        <v>3.7</v>
      </c>
      <c r="I370" s="240" t="n">
        <v>5805</v>
      </c>
      <c r="J370" s="241" t="n">
        <f aca="false">G370*I370</f>
        <v>45859.5</v>
      </c>
      <c r="K370" s="241" t="n">
        <f aca="false">J370-H370*I370</f>
        <v>24381</v>
      </c>
      <c r="L370" s="242" t="n">
        <f aca="false">IF(J370&gt;0,K370/J370,0)</f>
        <v>0.531645569620253</v>
      </c>
    </row>
    <row r="371" customFormat="false" ht="15" hidden="false" customHeight="true" outlineLevel="0" collapsed="false">
      <c r="A371" s="243" t="s">
        <v>415</v>
      </c>
      <c r="B371" s="243" t="s">
        <v>283</v>
      </c>
      <c r="C371" s="243" t="s">
        <v>260</v>
      </c>
      <c r="D371" s="243" t="s">
        <v>383</v>
      </c>
      <c r="E371" s="243" t="s">
        <v>386</v>
      </c>
      <c r="F371" s="243" t="s">
        <v>395</v>
      </c>
      <c r="G371" s="244" t="n">
        <v>14.2</v>
      </c>
      <c r="H371" s="244" t="n">
        <v>4.9</v>
      </c>
      <c r="I371" s="245" t="n">
        <v>7691</v>
      </c>
      <c r="J371" s="246" t="n">
        <f aca="false">G371*I371</f>
        <v>109212.2</v>
      </c>
      <c r="K371" s="246" t="n">
        <f aca="false">J371-H371*I371</f>
        <v>71526.3</v>
      </c>
      <c r="L371" s="247" t="n">
        <f aca="false">IF(J371&gt;0,K371/J371,0)</f>
        <v>0.654929577464789</v>
      </c>
    </row>
    <row r="372" customFormat="false" ht="15" hidden="false" customHeight="true" outlineLevel="0" collapsed="false">
      <c r="A372" s="238" t="s">
        <v>415</v>
      </c>
      <c r="B372" s="238" t="s">
        <v>283</v>
      </c>
      <c r="C372" s="238" t="s">
        <v>260</v>
      </c>
      <c r="D372" s="238" t="s">
        <v>383</v>
      </c>
      <c r="E372" s="238" t="s">
        <v>384</v>
      </c>
      <c r="F372" s="238" t="s">
        <v>397</v>
      </c>
      <c r="G372" s="239" t="n">
        <v>12</v>
      </c>
      <c r="H372" s="239" t="n">
        <v>3.5</v>
      </c>
      <c r="I372" s="240" t="n">
        <v>2842</v>
      </c>
      <c r="J372" s="241" t="n">
        <f aca="false">G372*I372</f>
        <v>34104</v>
      </c>
      <c r="K372" s="241" t="n">
        <f aca="false">J372-H372*I372</f>
        <v>24157</v>
      </c>
      <c r="L372" s="242" t="n">
        <f aca="false">IF(J372&gt;0,K372/J372,0)</f>
        <v>0.708333333333333</v>
      </c>
    </row>
    <row r="373" customFormat="false" ht="15" hidden="false" customHeight="true" outlineLevel="0" collapsed="false">
      <c r="A373" s="243" t="s">
        <v>415</v>
      </c>
      <c r="B373" s="243" t="s">
        <v>283</v>
      </c>
      <c r="C373" s="243" t="s">
        <v>260</v>
      </c>
      <c r="D373" s="243" t="s">
        <v>383</v>
      </c>
      <c r="E373" s="243" t="s">
        <v>386</v>
      </c>
      <c r="F373" s="243" t="s">
        <v>398</v>
      </c>
      <c r="G373" s="244" t="n">
        <v>11.5</v>
      </c>
      <c r="H373" s="244" t="n">
        <v>4.9</v>
      </c>
      <c r="I373" s="245" t="n">
        <v>1993</v>
      </c>
      <c r="J373" s="246" t="n">
        <f aca="false">G373*I373</f>
        <v>22919.5</v>
      </c>
      <c r="K373" s="246" t="n">
        <f aca="false">J373-H373*I373</f>
        <v>13153.8</v>
      </c>
      <c r="L373" s="247" t="n">
        <f aca="false">IF(J373&gt;0,K373/J373,0)</f>
        <v>0.573913043478261</v>
      </c>
    </row>
    <row r="374" customFormat="false" ht="15" hidden="false" customHeight="true" outlineLevel="0" collapsed="false">
      <c r="A374" s="238" t="s">
        <v>415</v>
      </c>
      <c r="B374" s="238" t="s">
        <v>283</v>
      </c>
      <c r="C374" s="238" t="s">
        <v>260</v>
      </c>
      <c r="D374" s="238" t="s">
        <v>399</v>
      </c>
      <c r="E374" s="238" t="s">
        <v>400</v>
      </c>
      <c r="F374" s="238" t="s">
        <v>385</v>
      </c>
      <c r="G374" s="239" t="n">
        <v>12.3</v>
      </c>
      <c r="H374" s="239" t="n">
        <v>4.5</v>
      </c>
      <c r="I374" s="240" t="n">
        <v>4960</v>
      </c>
      <c r="J374" s="241" t="n">
        <f aca="false">G374*I374</f>
        <v>61008</v>
      </c>
      <c r="K374" s="241" t="n">
        <f aca="false">J374-H374*I374</f>
        <v>38688</v>
      </c>
      <c r="L374" s="242" t="n">
        <f aca="false">IF(J374&gt;0,K374/J374,0)</f>
        <v>0.634146341463415</v>
      </c>
    </row>
    <row r="375" customFormat="false" ht="15" hidden="false" customHeight="true" outlineLevel="0" collapsed="false">
      <c r="A375" s="243" t="s">
        <v>415</v>
      </c>
      <c r="B375" s="243" t="s">
        <v>283</v>
      </c>
      <c r="C375" s="243" t="s">
        <v>260</v>
      </c>
      <c r="D375" s="243" t="s">
        <v>399</v>
      </c>
      <c r="E375" s="243" t="s">
        <v>401</v>
      </c>
      <c r="F375" s="243" t="s">
        <v>387</v>
      </c>
      <c r="G375" s="244" t="n">
        <v>13.5</v>
      </c>
      <c r="H375" s="244" t="n">
        <v>4.6</v>
      </c>
      <c r="I375" s="245" t="n">
        <v>2100</v>
      </c>
      <c r="J375" s="246" t="n">
        <f aca="false">G375*I375</f>
        <v>28350</v>
      </c>
      <c r="K375" s="246" t="n">
        <f aca="false">J375-H375*I375</f>
        <v>18690</v>
      </c>
      <c r="L375" s="247" t="n">
        <f aca="false">IF(J375&gt;0,K375/J375,0)</f>
        <v>0.659259259259259</v>
      </c>
    </row>
    <row r="376" customFormat="false" ht="15" hidden="false" customHeight="true" outlineLevel="0" collapsed="false">
      <c r="A376" s="238" t="s">
        <v>415</v>
      </c>
      <c r="B376" s="238" t="s">
        <v>283</v>
      </c>
      <c r="C376" s="238" t="s">
        <v>260</v>
      </c>
      <c r="D376" s="238" t="s">
        <v>399</v>
      </c>
      <c r="E376" s="238" t="s">
        <v>401</v>
      </c>
      <c r="F376" s="238" t="s">
        <v>388</v>
      </c>
      <c r="G376" s="239" t="n">
        <v>16.4</v>
      </c>
      <c r="H376" s="239" t="n">
        <v>4.9</v>
      </c>
      <c r="I376" s="240" t="n">
        <v>3853</v>
      </c>
      <c r="J376" s="241" t="n">
        <f aca="false">G376*I376</f>
        <v>63189.2</v>
      </c>
      <c r="K376" s="241" t="n">
        <f aca="false">J376-H376*I376</f>
        <v>44309.5</v>
      </c>
      <c r="L376" s="242" t="n">
        <f aca="false">IF(J376&gt;0,K376/J376,0)</f>
        <v>0.701219512195122</v>
      </c>
    </row>
    <row r="377" customFormat="false" ht="15" hidden="false" customHeight="true" outlineLevel="0" collapsed="false">
      <c r="A377" s="243" t="s">
        <v>415</v>
      </c>
      <c r="B377" s="243" t="s">
        <v>283</v>
      </c>
      <c r="C377" s="243" t="s">
        <v>260</v>
      </c>
      <c r="D377" s="243" t="s">
        <v>399</v>
      </c>
      <c r="E377" s="243" t="s">
        <v>401</v>
      </c>
      <c r="F377" s="243" t="s">
        <v>389</v>
      </c>
      <c r="G377" s="244" t="n">
        <v>9.8</v>
      </c>
      <c r="H377" s="244" t="n">
        <v>4.8</v>
      </c>
      <c r="I377" s="245" t="n">
        <v>1427</v>
      </c>
      <c r="J377" s="246" t="n">
        <f aca="false">G377*I377</f>
        <v>13984.6</v>
      </c>
      <c r="K377" s="246" t="n">
        <f aca="false">J377-H377*I377</f>
        <v>7135</v>
      </c>
      <c r="L377" s="247" t="n">
        <f aca="false">IF(J377&gt;0,K377/J377,0)</f>
        <v>0.510204081632653</v>
      </c>
    </row>
    <row r="378" customFormat="false" ht="15" hidden="false" customHeight="true" outlineLevel="0" collapsed="false">
      <c r="A378" s="238" t="s">
        <v>415</v>
      </c>
      <c r="B378" s="238" t="s">
        <v>283</v>
      </c>
      <c r="C378" s="238" t="s">
        <v>260</v>
      </c>
      <c r="D378" s="238" t="s">
        <v>399</v>
      </c>
      <c r="E378" s="238" t="s">
        <v>400</v>
      </c>
      <c r="F378" s="238" t="s">
        <v>390</v>
      </c>
      <c r="G378" s="239" t="n">
        <v>11</v>
      </c>
      <c r="H378" s="239" t="n">
        <v>3.9</v>
      </c>
      <c r="I378" s="240" t="n">
        <v>1269</v>
      </c>
      <c r="J378" s="241" t="n">
        <f aca="false">G378*I378</f>
        <v>13959</v>
      </c>
      <c r="K378" s="241" t="n">
        <f aca="false">J378-H378*I378</f>
        <v>9009.9</v>
      </c>
      <c r="L378" s="242" t="n">
        <f aca="false">IF(J378&gt;0,K378/J378,0)</f>
        <v>0.645454545454546</v>
      </c>
    </row>
    <row r="379" customFormat="false" ht="15" hidden="false" customHeight="true" outlineLevel="0" collapsed="false">
      <c r="A379" s="243" t="s">
        <v>415</v>
      </c>
      <c r="B379" s="243" t="s">
        <v>283</v>
      </c>
      <c r="C379" s="243" t="s">
        <v>260</v>
      </c>
      <c r="D379" s="243" t="s">
        <v>399</v>
      </c>
      <c r="E379" s="243" t="s">
        <v>400</v>
      </c>
      <c r="F379" s="243" t="s">
        <v>391</v>
      </c>
      <c r="G379" s="244" t="n">
        <v>9.4</v>
      </c>
      <c r="H379" s="244" t="n">
        <v>3.5</v>
      </c>
      <c r="I379" s="245" t="n">
        <v>2891</v>
      </c>
      <c r="J379" s="246" t="n">
        <f aca="false">G379*I379</f>
        <v>27175.4</v>
      </c>
      <c r="K379" s="246" t="n">
        <f aca="false">J379-H379*I379</f>
        <v>17056.9</v>
      </c>
      <c r="L379" s="247" t="n">
        <f aca="false">IF(J379&gt;0,K379/J379,0)</f>
        <v>0.627659574468085</v>
      </c>
    </row>
    <row r="380" customFormat="false" ht="15" hidden="false" customHeight="true" outlineLevel="0" collapsed="false">
      <c r="A380" s="238" t="s">
        <v>415</v>
      </c>
      <c r="B380" s="238" t="s">
        <v>283</v>
      </c>
      <c r="C380" s="238" t="s">
        <v>260</v>
      </c>
      <c r="D380" s="238" t="s">
        <v>399</v>
      </c>
      <c r="E380" s="238" t="s">
        <v>401</v>
      </c>
      <c r="F380" s="238" t="s">
        <v>392</v>
      </c>
      <c r="G380" s="239" t="n">
        <v>13.4</v>
      </c>
      <c r="H380" s="239" t="n">
        <v>4.5</v>
      </c>
      <c r="I380" s="240" t="n">
        <v>2068</v>
      </c>
      <c r="J380" s="241" t="n">
        <f aca="false">G380*I380</f>
        <v>27711.2</v>
      </c>
      <c r="K380" s="241" t="n">
        <f aca="false">J380-H380*I380</f>
        <v>18405.2</v>
      </c>
      <c r="L380" s="242" t="n">
        <f aca="false">IF(J380&gt;0,K380/J380,0)</f>
        <v>0.664179104477612</v>
      </c>
    </row>
    <row r="381" customFormat="false" ht="15" hidden="false" customHeight="true" outlineLevel="0" collapsed="false">
      <c r="A381" s="243" t="s">
        <v>415</v>
      </c>
      <c r="B381" s="243" t="s">
        <v>283</v>
      </c>
      <c r="C381" s="243" t="s">
        <v>260</v>
      </c>
      <c r="D381" s="243" t="s">
        <v>399</v>
      </c>
      <c r="E381" s="243" t="s">
        <v>400</v>
      </c>
      <c r="F381" s="243" t="s">
        <v>393</v>
      </c>
      <c r="G381" s="244" t="n">
        <v>13.2</v>
      </c>
      <c r="H381" s="244" t="n">
        <v>4</v>
      </c>
      <c r="I381" s="245" t="n">
        <v>2526</v>
      </c>
      <c r="J381" s="246" t="n">
        <f aca="false">G381*I381</f>
        <v>33343.2</v>
      </c>
      <c r="K381" s="246" t="n">
        <f aca="false">J381-H381*I381</f>
        <v>23239.2</v>
      </c>
      <c r="L381" s="247" t="n">
        <f aca="false">IF(J381&gt;0,K381/J381,0)</f>
        <v>0.696969696969697</v>
      </c>
    </row>
    <row r="382" customFormat="false" ht="15" hidden="false" customHeight="true" outlineLevel="0" collapsed="false">
      <c r="A382" s="238" t="s">
        <v>415</v>
      </c>
      <c r="B382" s="238" t="s">
        <v>283</v>
      </c>
      <c r="C382" s="238" t="s">
        <v>260</v>
      </c>
      <c r="D382" s="238" t="s">
        <v>399</v>
      </c>
      <c r="E382" s="238" t="s">
        <v>401</v>
      </c>
      <c r="F382" s="238" t="s">
        <v>394</v>
      </c>
      <c r="G382" s="239" t="n">
        <v>10.1</v>
      </c>
      <c r="H382" s="239" t="n">
        <v>4.5</v>
      </c>
      <c r="I382" s="240" t="n">
        <v>2474</v>
      </c>
      <c r="J382" s="241" t="n">
        <f aca="false">G382*I382</f>
        <v>24987.4</v>
      </c>
      <c r="K382" s="241" t="n">
        <f aca="false">J382-H382*I382</f>
        <v>13854.4</v>
      </c>
      <c r="L382" s="242" t="n">
        <f aca="false">IF(J382&gt;0,K382/J382,0)</f>
        <v>0.554455445544554</v>
      </c>
    </row>
    <row r="383" customFormat="false" ht="15" hidden="false" customHeight="true" outlineLevel="0" collapsed="false">
      <c r="A383" s="243" t="s">
        <v>415</v>
      </c>
      <c r="B383" s="243" t="s">
        <v>283</v>
      </c>
      <c r="C383" s="243" t="s">
        <v>260</v>
      </c>
      <c r="D383" s="243" t="s">
        <v>399</v>
      </c>
      <c r="E383" s="243" t="s">
        <v>400</v>
      </c>
      <c r="F383" s="243" t="s">
        <v>395</v>
      </c>
      <c r="G383" s="244" t="n">
        <v>9.2</v>
      </c>
      <c r="H383" s="244" t="n">
        <v>4.2</v>
      </c>
      <c r="I383" s="245" t="n">
        <v>2579</v>
      </c>
      <c r="J383" s="246" t="n">
        <f aca="false">G383*I383</f>
        <v>23726.8</v>
      </c>
      <c r="K383" s="246" t="n">
        <f aca="false">J383-H383*I383</f>
        <v>12895</v>
      </c>
      <c r="L383" s="247" t="n">
        <f aca="false">IF(J383&gt;0,K383/J383,0)</f>
        <v>0.543478260869565</v>
      </c>
    </row>
    <row r="384" customFormat="false" ht="15" hidden="false" customHeight="true" outlineLevel="0" collapsed="false">
      <c r="A384" s="238" t="s">
        <v>415</v>
      </c>
      <c r="B384" s="238" t="s">
        <v>283</v>
      </c>
      <c r="C384" s="238" t="s">
        <v>260</v>
      </c>
      <c r="D384" s="238" t="s">
        <v>399</v>
      </c>
      <c r="E384" s="238" t="s">
        <v>400</v>
      </c>
      <c r="F384" s="238" t="s">
        <v>397</v>
      </c>
      <c r="G384" s="239" t="n">
        <v>8</v>
      </c>
      <c r="H384" s="239" t="n">
        <v>3.5</v>
      </c>
      <c r="I384" s="240" t="n">
        <v>1856</v>
      </c>
      <c r="J384" s="241" t="n">
        <f aca="false">G384*I384</f>
        <v>14848</v>
      </c>
      <c r="K384" s="241" t="n">
        <f aca="false">J384-H384*I384</f>
        <v>8352</v>
      </c>
      <c r="L384" s="242" t="n">
        <f aca="false">IF(J384&gt;0,K384/J384,0)</f>
        <v>0.5625</v>
      </c>
    </row>
    <row r="385" customFormat="false" ht="15" hidden="false" customHeight="true" outlineLevel="0" collapsed="false">
      <c r="A385" s="243" t="s">
        <v>415</v>
      </c>
      <c r="B385" s="243" t="s">
        <v>283</v>
      </c>
      <c r="C385" s="243" t="s">
        <v>260</v>
      </c>
      <c r="D385" s="243" t="s">
        <v>399</v>
      </c>
      <c r="E385" s="243" t="s">
        <v>402</v>
      </c>
      <c r="F385" s="243" t="s">
        <v>398</v>
      </c>
      <c r="G385" s="244" t="n">
        <v>13.8</v>
      </c>
      <c r="H385" s="244" t="n">
        <v>4.7</v>
      </c>
      <c r="I385" s="245" t="n">
        <v>3755</v>
      </c>
      <c r="J385" s="246" t="n">
        <f aca="false">G385*I385</f>
        <v>51819</v>
      </c>
      <c r="K385" s="246" t="n">
        <f aca="false">J385-H385*I385</f>
        <v>34170.5</v>
      </c>
      <c r="L385" s="247" t="n">
        <f aca="false">IF(J385&gt;0,K385/J385,0)</f>
        <v>0.659420289855073</v>
      </c>
    </row>
    <row r="386" customFormat="false" ht="15" hidden="false" customHeight="true" outlineLevel="0" collapsed="false">
      <c r="A386" s="238" t="s">
        <v>415</v>
      </c>
      <c r="B386" s="238" t="s">
        <v>283</v>
      </c>
      <c r="C386" s="238" t="s">
        <v>260</v>
      </c>
      <c r="D386" s="238" t="s">
        <v>403</v>
      </c>
      <c r="E386" s="238" t="s">
        <v>406</v>
      </c>
      <c r="F386" s="238" t="s">
        <v>385</v>
      </c>
      <c r="G386" s="239" t="n">
        <v>12.8</v>
      </c>
      <c r="H386" s="239" t="n">
        <v>4.4</v>
      </c>
      <c r="I386" s="240" t="n">
        <v>1344</v>
      </c>
      <c r="J386" s="241" t="n">
        <f aca="false">G386*I386</f>
        <v>17203.2</v>
      </c>
      <c r="K386" s="241" t="n">
        <f aca="false">J386-H386*I386</f>
        <v>11289.6</v>
      </c>
      <c r="L386" s="242" t="n">
        <f aca="false">IF(J386&gt;0,K386/J386,0)</f>
        <v>0.65625</v>
      </c>
    </row>
    <row r="387" customFormat="false" ht="15" hidden="false" customHeight="true" outlineLevel="0" collapsed="false">
      <c r="A387" s="243" t="s">
        <v>415</v>
      </c>
      <c r="B387" s="243" t="s">
        <v>283</v>
      </c>
      <c r="C387" s="243" t="s">
        <v>260</v>
      </c>
      <c r="D387" s="243" t="s">
        <v>403</v>
      </c>
      <c r="E387" s="243" t="s">
        <v>405</v>
      </c>
      <c r="F387" s="243" t="s">
        <v>387</v>
      </c>
      <c r="G387" s="244" t="n">
        <v>8.5</v>
      </c>
      <c r="H387" s="244" t="n">
        <v>3.7</v>
      </c>
      <c r="I387" s="245" t="n">
        <v>3177</v>
      </c>
      <c r="J387" s="246" t="n">
        <f aca="false">G387*I387</f>
        <v>27004.5</v>
      </c>
      <c r="K387" s="246" t="n">
        <f aca="false">J387-H387*I387</f>
        <v>15249.6</v>
      </c>
      <c r="L387" s="247" t="n">
        <f aca="false">IF(J387&gt;0,K387/J387,0)</f>
        <v>0.564705882352941</v>
      </c>
    </row>
    <row r="388" customFormat="false" ht="15" hidden="false" customHeight="true" outlineLevel="0" collapsed="false">
      <c r="A388" s="238" t="s">
        <v>415</v>
      </c>
      <c r="B388" s="238" t="s">
        <v>283</v>
      </c>
      <c r="C388" s="238" t="s">
        <v>260</v>
      </c>
      <c r="D388" s="238" t="s">
        <v>403</v>
      </c>
      <c r="E388" s="238" t="s">
        <v>406</v>
      </c>
      <c r="F388" s="238" t="s">
        <v>388</v>
      </c>
      <c r="G388" s="239" t="n">
        <v>11.2</v>
      </c>
      <c r="H388" s="239" t="n">
        <v>5</v>
      </c>
      <c r="I388" s="240" t="n">
        <v>2249</v>
      </c>
      <c r="J388" s="241" t="n">
        <f aca="false">G388*I388</f>
        <v>25188.8</v>
      </c>
      <c r="K388" s="241" t="n">
        <f aca="false">J388-H388*I388</f>
        <v>13943.8</v>
      </c>
      <c r="L388" s="242" t="n">
        <f aca="false">IF(J388&gt;0,K388/J388,0)</f>
        <v>0.553571428571429</v>
      </c>
    </row>
    <row r="389" customFormat="false" ht="15" hidden="false" customHeight="true" outlineLevel="0" collapsed="false">
      <c r="A389" s="243" t="s">
        <v>415</v>
      </c>
      <c r="B389" s="243" t="s">
        <v>283</v>
      </c>
      <c r="C389" s="243" t="s">
        <v>260</v>
      </c>
      <c r="D389" s="243" t="s">
        <v>403</v>
      </c>
      <c r="E389" s="243" t="s">
        <v>405</v>
      </c>
      <c r="F389" s="243" t="s">
        <v>389</v>
      </c>
      <c r="G389" s="244" t="n">
        <v>13.2</v>
      </c>
      <c r="H389" s="244" t="n">
        <v>3.8</v>
      </c>
      <c r="I389" s="245" t="n">
        <v>2650</v>
      </c>
      <c r="J389" s="246" t="n">
        <f aca="false">G389*I389</f>
        <v>34980</v>
      </c>
      <c r="K389" s="246" t="n">
        <f aca="false">J389-H389*I389</f>
        <v>24910</v>
      </c>
      <c r="L389" s="247" t="n">
        <f aca="false">IF(J389&gt;0,K389/J389,0)</f>
        <v>0.712121212121212</v>
      </c>
    </row>
    <row r="390" customFormat="false" ht="15" hidden="false" customHeight="true" outlineLevel="0" collapsed="false">
      <c r="A390" s="238" t="s">
        <v>415</v>
      </c>
      <c r="B390" s="238" t="s">
        <v>283</v>
      </c>
      <c r="C390" s="238" t="s">
        <v>260</v>
      </c>
      <c r="D390" s="238" t="s">
        <v>403</v>
      </c>
      <c r="E390" s="238" t="s">
        <v>406</v>
      </c>
      <c r="F390" s="238" t="s">
        <v>390</v>
      </c>
      <c r="G390" s="239" t="n">
        <v>8.7</v>
      </c>
      <c r="H390" s="239" t="n">
        <v>3.6</v>
      </c>
      <c r="I390" s="240" t="n">
        <v>644</v>
      </c>
      <c r="J390" s="241" t="n">
        <f aca="false">G390*I390</f>
        <v>5602.8</v>
      </c>
      <c r="K390" s="241" t="n">
        <f aca="false">J390-H390*I390</f>
        <v>3284.4</v>
      </c>
      <c r="L390" s="242" t="n">
        <f aca="false">IF(J390&gt;0,K390/J390,0)</f>
        <v>0.586206896551724</v>
      </c>
    </row>
    <row r="391" customFormat="false" ht="15" hidden="false" customHeight="true" outlineLevel="0" collapsed="false">
      <c r="A391" s="243" t="s">
        <v>415</v>
      </c>
      <c r="B391" s="243" t="s">
        <v>283</v>
      </c>
      <c r="C391" s="243" t="s">
        <v>260</v>
      </c>
      <c r="D391" s="243" t="s">
        <v>403</v>
      </c>
      <c r="E391" s="243" t="s">
        <v>406</v>
      </c>
      <c r="F391" s="243" t="s">
        <v>391</v>
      </c>
      <c r="G391" s="244" t="n">
        <v>12</v>
      </c>
      <c r="H391" s="244" t="n">
        <v>3.6</v>
      </c>
      <c r="I391" s="245" t="n">
        <v>1681</v>
      </c>
      <c r="J391" s="246" t="n">
        <f aca="false">G391*I391</f>
        <v>20172</v>
      </c>
      <c r="K391" s="246" t="n">
        <f aca="false">J391-H391*I391</f>
        <v>14120.4</v>
      </c>
      <c r="L391" s="247" t="n">
        <f aca="false">IF(J391&gt;0,K391/J391,0)</f>
        <v>0.7</v>
      </c>
    </row>
    <row r="392" customFormat="false" ht="15" hidden="false" customHeight="true" outlineLevel="0" collapsed="false">
      <c r="A392" s="238" t="s">
        <v>415</v>
      </c>
      <c r="B392" s="238" t="s">
        <v>283</v>
      </c>
      <c r="C392" s="238" t="s">
        <v>260</v>
      </c>
      <c r="D392" s="238" t="s">
        <v>403</v>
      </c>
      <c r="E392" s="238" t="s">
        <v>405</v>
      </c>
      <c r="F392" s="238" t="s">
        <v>392</v>
      </c>
      <c r="G392" s="239" t="n">
        <v>12.1</v>
      </c>
      <c r="H392" s="239" t="n">
        <v>3.8</v>
      </c>
      <c r="I392" s="240" t="n">
        <v>2353</v>
      </c>
      <c r="J392" s="241" t="n">
        <f aca="false">G392*I392</f>
        <v>28471.3</v>
      </c>
      <c r="K392" s="241" t="n">
        <f aca="false">J392-H392*I392</f>
        <v>19529.9</v>
      </c>
      <c r="L392" s="242" t="n">
        <f aca="false">IF(J392&gt;0,K392/J392,0)</f>
        <v>0.685950413223141</v>
      </c>
    </row>
    <row r="393" customFormat="false" ht="15" hidden="false" customHeight="true" outlineLevel="0" collapsed="false">
      <c r="A393" s="243" t="s">
        <v>415</v>
      </c>
      <c r="B393" s="243" t="s">
        <v>283</v>
      </c>
      <c r="C393" s="243" t="s">
        <v>260</v>
      </c>
      <c r="D393" s="243" t="s">
        <v>403</v>
      </c>
      <c r="E393" s="243" t="s">
        <v>404</v>
      </c>
      <c r="F393" s="243" t="s">
        <v>393</v>
      </c>
      <c r="G393" s="244" t="n">
        <v>12.2</v>
      </c>
      <c r="H393" s="244" t="n">
        <v>5</v>
      </c>
      <c r="I393" s="245" t="n">
        <v>389</v>
      </c>
      <c r="J393" s="246" t="n">
        <f aca="false">G393*I393</f>
        <v>4745.8</v>
      </c>
      <c r="K393" s="246" t="n">
        <f aca="false">J393-H393*I393</f>
        <v>2800.8</v>
      </c>
      <c r="L393" s="247" t="n">
        <f aca="false">IF(J393&gt;0,K393/J393,0)</f>
        <v>0.59016393442623</v>
      </c>
    </row>
    <row r="394" customFormat="false" ht="15" hidden="false" customHeight="true" outlineLevel="0" collapsed="false">
      <c r="A394" s="238" t="s">
        <v>415</v>
      </c>
      <c r="B394" s="238" t="s">
        <v>283</v>
      </c>
      <c r="C394" s="238" t="s">
        <v>260</v>
      </c>
      <c r="D394" s="238" t="s">
        <v>403</v>
      </c>
      <c r="E394" s="238" t="s">
        <v>404</v>
      </c>
      <c r="F394" s="238" t="s">
        <v>394</v>
      </c>
      <c r="G394" s="239" t="n">
        <v>10.9</v>
      </c>
      <c r="H394" s="239" t="n">
        <v>4.2</v>
      </c>
      <c r="I394" s="240" t="n">
        <v>2492</v>
      </c>
      <c r="J394" s="241" t="n">
        <f aca="false">G394*I394</f>
        <v>27162.8</v>
      </c>
      <c r="K394" s="241" t="n">
        <f aca="false">J394-H394*I394</f>
        <v>16696.4</v>
      </c>
      <c r="L394" s="242" t="n">
        <f aca="false">IF(J394&gt;0,K394/J394,0)</f>
        <v>0.614678899082569</v>
      </c>
    </row>
    <row r="395" customFormat="false" ht="15" hidden="false" customHeight="true" outlineLevel="0" collapsed="false">
      <c r="A395" s="243" t="s">
        <v>415</v>
      </c>
      <c r="B395" s="243" t="s">
        <v>283</v>
      </c>
      <c r="C395" s="243" t="s">
        <v>260</v>
      </c>
      <c r="D395" s="243" t="s">
        <v>403</v>
      </c>
      <c r="E395" s="243" t="s">
        <v>406</v>
      </c>
      <c r="F395" s="243" t="s">
        <v>395</v>
      </c>
      <c r="G395" s="244" t="n">
        <v>12.7</v>
      </c>
      <c r="H395" s="244" t="n">
        <v>4.4</v>
      </c>
      <c r="I395" s="245" t="n">
        <v>2218</v>
      </c>
      <c r="J395" s="246" t="n">
        <f aca="false">G395*I395</f>
        <v>28168.6</v>
      </c>
      <c r="K395" s="246" t="n">
        <f aca="false">J395-H395*I395</f>
        <v>18409.4</v>
      </c>
      <c r="L395" s="247" t="n">
        <f aca="false">IF(J395&gt;0,K395/J395,0)</f>
        <v>0.653543307086614</v>
      </c>
    </row>
    <row r="396" customFormat="false" ht="15" hidden="false" customHeight="true" outlineLevel="0" collapsed="false">
      <c r="A396" s="238" t="s">
        <v>415</v>
      </c>
      <c r="B396" s="238" t="s">
        <v>283</v>
      </c>
      <c r="C396" s="238" t="s">
        <v>260</v>
      </c>
      <c r="D396" s="238" t="s">
        <v>403</v>
      </c>
      <c r="E396" s="238" t="s">
        <v>405</v>
      </c>
      <c r="F396" s="238" t="s">
        <v>397</v>
      </c>
      <c r="G396" s="239" t="n">
        <v>12.8</v>
      </c>
      <c r="H396" s="239" t="n">
        <v>4.3</v>
      </c>
      <c r="I396" s="240" t="n">
        <v>2892</v>
      </c>
      <c r="J396" s="241" t="n">
        <f aca="false">G396*I396</f>
        <v>37017.6</v>
      </c>
      <c r="K396" s="241" t="n">
        <f aca="false">J396-H396*I396</f>
        <v>24582</v>
      </c>
      <c r="L396" s="242" t="n">
        <f aca="false">IF(J396&gt;0,K396/J396,0)</f>
        <v>0.6640625</v>
      </c>
    </row>
    <row r="397" customFormat="false" ht="15" hidden="false" customHeight="true" outlineLevel="0" collapsed="false">
      <c r="A397" s="243" t="s">
        <v>415</v>
      </c>
      <c r="B397" s="243" t="s">
        <v>283</v>
      </c>
      <c r="C397" s="243" t="s">
        <v>260</v>
      </c>
      <c r="D397" s="243" t="s">
        <v>403</v>
      </c>
      <c r="E397" s="243" t="s">
        <v>405</v>
      </c>
      <c r="F397" s="243" t="s">
        <v>398</v>
      </c>
      <c r="G397" s="244" t="n">
        <v>14.4</v>
      </c>
      <c r="H397" s="244" t="n">
        <v>4.4</v>
      </c>
      <c r="I397" s="245" t="n">
        <v>2312</v>
      </c>
      <c r="J397" s="246" t="n">
        <f aca="false">G397*I397</f>
        <v>33292.8</v>
      </c>
      <c r="K397" s="246" t="n">
        <f aca="false">J397-H397*I397</f>
        <v>23120</v>
      </c>
      <c r="L397" s="247" t="n">
        <f aca="false">IF(J397&gt;0,K397/J397,0)</f>
        <v>0.694444444444444</v>
      </c>
    </row>
    <row r="398" customFormat="false" ht="15" hidden="false" customHeight="true" outlineLevel="0" collapsed="false">
      <c r="A398" s="238" t="s">
        <v>416</v>
      </c>
      <c r="B398" s="238" t="s">
        <v>287</v>
      </c>
      <c r="C398" s="238" t="s">
        <v>260</v>
      </c>
      <c r="D398" s="238" t="s">
        <v>383</v>
      </c>
      <c r="E398" s="238" t="s">
        <v>386</v>
      </c>
      <c r="F398" s="238" t="s">
        <v>385</v>
      </c>
      <c r="G398" s="239" t="n">
        <v>17</v>
      </c>
      <c r="H398" s="239" t="n">
        <v>6.4</v>
      </c>
      <c r="I398" s="240" t="n">
        <v>2670</v>
      </c>
      <c r="J398" s="241" t="n">
        <f aca="false">G398*I398</f>
        <v>45390</v>
      </c>
      <c r="K398" s="241" t="n">
        <f aca="false">J398-H398*I398</f>
        <v>28302</v>
      </c>
      <c r="L398" s="242" t="n">
        <f aca="false">IF(J398&gt;0,K398/J398,0)</f>
        <v>0.623529411764706</v>
      </c>
    </row>
    <row r="399" customFormat="false" ht="15" hidden="false" customHeight="true" outlineLevel="0" collapsed="false">
      <c r="A399" s="243" t="s">
        <v>416</v>
      </c>
      <c r="B399" s="243" t="s">
        <v>287</v>
      </c>
      <c r="C399" s="243" t="s">
        <v>260</v>
      </c>
      <c r="D399" s="243" t="s">
        <v>383</v>
      </c>
      <c r="E399" s="243" t="s">
        <v>386</v>
      </c>
      <c r="F399" s="243" t="s">
        <v>387</v>
      </c>
      <c r="G399" s="244" t="n">
        <v>16.6</v>
      </c>
      <c r="H399" s="244" t="n">
        <v>6.3</v>
      </c>
      <c r="I399" s="245" t="n">
        <v>6433</v>
      </c>
      <c r="J399" s="246" t="n">
        <f aca="false">G399*I399</f>
        <v>106787.8</v>
      </c>
      <c r="K399" s="246" t="n">
        <f aca="false">J399-H399*I399</f>
        <v>66259.9</v>
      </c>
      <c r="L399" s="247" t="n">
        <f aca="false">IF(J399&gt;0,K399/J399,0)</f>
        <v>0.620481927710843</v>
      </c>
    </row>
    <row r="400" customFormat="false" ht="15" hidden="false" customHeight="true" outlineLevel="0" collapsed="false">
      <c r="A400" s="238" t="s">
        <v>416</v>
      </c>
      <c r="B400" s="238" t="s">
        <v>287</v>
      </c>
      <c r="C400" s="238" t="s">
        <v>260</v>
      </c>
      <c r="D400" s="238" t="s">
        <v>383</v>
      </c>
      <c r="E400" s="238" t="s">
        <v>396</v>
      </c>
      <c r="F400" s="238" t="s">
        <v>388</v>
      </c>
      <c r="G400" s="239" t="n">
        <v>18.1</v>
      </c>
      <c r="H400" s="239" t="n">
        <v>8.1</v>
      </c>
      <c r="I400" s="240" t="n">
        <v>6915</v>
      </c>
      <c r="J400" s="241" t="n">
        <f aca="false">G400*I400</f>
        <v>125161.5</v>
      </c>
      <c r="K400" s="241" t="n">
        <f aca="false">J400-H400*I400</f>
        <v>69150</v>
      </c>
      <c r="L400" s="242" t="n">
        <f aca="false">IF(J400&gt;0,K400/J400,0)</f>
        <v>0.552486187845304</v>
      </c>
    </row>
    <row r="401" customFormat="false" ht="15" hidden="false" customHeight="true" outlineLevel="0" collapsed="false">
      <c r="A401" s="243" t="s">
        <v>416</v>
      </c>
      <c r="B401" s="243" t="s">
        <v>287</v>
      </c>
      <c r="C401" s="243" t="s">
        <v>260</v>
      </c>
      <c r="D401" s="243" t="s">
        <v>383</v>
      </c>
      <c r="E401" s="243" t="s">
        <v>386</v>
      </c>
      <c r="F401" s="243" t="s">
        <v>389</v>
      </c>
      <c r="G401" s="244" t="n">
        <v>21.7</v>
      </c>
      <c r="H401" s="244" t="n">
        <v>7.4</v>
      </c>
      <c r="I401" s="245" t="n">
        <v>3747</v>
      </c>
      <c r="J401" s="246" t="n">
        <f aca="false">G401*I401</f>
        <v>81309.9</v>
      </c>
      <c r="K401" s="246" t="n">
        <f aca="false">J401-H401*I401</f>
        <v>53582.1</v>
      </c>
      <c r="L401" s="247" t="n">
        <f aca="false">IF(J401&gt;0,K401/J401,0)</f>
        <v>0.658986175115207</v>
      </c>
    </row>
    <row r="402" customFormat="false" ht="15" hidden="false" customHeight="true" outlineLevel="0" collapsed="false">
      <c r="A402" s="238" t="s">
        <v>416</v>
      </c>
      <c r="B402" s="238" t="s">
        <v>287</v>
      </c>
      <c r="C402" s="238" t="s">
        <v>260</v>
      </c>
      <c r="D402" s="238" t="s">
        <v>383</v>
      </c>
      <c r="E402" s="238" t="s">
        <v>396</v>
      </c>
      <c r="F402" s="238" t="s">
        <v>390</v>
      </c>
      <c r="G402" s="239" t="n">
        <v>26.5</v>
      </c>
      <c r="H402" s="239" t="n">
        <v>8</v>
      </c>
      <c r="I402" s="240" t="n">
        <v>7240</v>
      </c>
      <c r="J402" s="241" t="n">
        <f aca="false">G402*I402</f>
        <v>191860</v>
      </c>
      <c r="K402" s="241" t="n">
        <f aca="false">J402-H402*I402</f>
        <v>133940</v>
      </c>
      <c r="L402" s="242" t="n">
        <f aca="false">IF(J402&gt;0,K402/J402,0)</f>
        <v>0.69811320754717</v>
      </c>
    </row>
    <row r="403" customFormat="false" ht="15" hidden="false" customHeight="true" outlineLevel="0" collapsed="false">
      <c r="A403" s="243" t="s">
        <v>416</v>
      </c>
      <c r="B403" s="243" t="s">
        <v>287</v>
      </c>
      <c r="C403" s="243" t="s">
        <v>260</v>
      </c>
      <c r="D403" s="243" t="s">
        <v>383</v>
      </c>
      <c r="E403" s="243" t="s">
        <v>384</v>
      </c>
      <c r="F403" s="243" t="s">
        <v>391</v>
      </c>
      <c r="G403" s="244" t="n">
        <v>21.4</v>
      </c>
      <c r="H403" s="244" t="n">
        <v>8.3</v>
      </c>
      <c r="I403" s="245" t="n">
        <v>4326</v>
      </c>
      <c r="J403" s="246" t="n">
        <f aca="false">G403*I403</f>
        <v>92576.4</v>
      </c>
      <c r="K403" s="246" t="n">
        <f aca="false">J403-H403*I403</f>
        <v>56670.6</v>
      </c>
      <c r="L403" s="247" t="n">
        <f aca="false">IF(J403&gt;0,K403/J403,0)</f>
        <v>0.61214953271028</v>
      </c>
    </row>
    <row r="404" customFormat="false" ht="15" hidden="false" customHeight="true" outlineLevel="0" collapsed="false">
      <c r="A404" s="238" t="s">
        <v>416</v>
      </c>
      <c r="B404" s="238" t="s">
        <v>287</v>
      </c>
      <c r="C404" s="238" t="s">
        <v>260</v>
      </c>
      <c r="D404" s="238" t="s">
        <v>383</v>
      </c>
      <c r="E404" s="238" t="s">
        <v>384</v>
      </c>
      <c r="F404" s="238" t="s">
        <v>392</v>
      </c>
      <c r="G404" s="239" t="n">
        <v>17.2</v>
      </c>
      <c r="H404" s="239" t="n">
        <v>6.1</v>
      </c>
      <c r="I404" s="240" t="n">
        <v>1958</v>
      </c>
      <c r="J404" s="241" t="n">
        <f aca="false">G404*I404</f>
        <v>33677.6</v>
      </c>
      <c r="K404" s="241" t="n">
        <f aca="false">J404-H404*I404</f>
        <v>21733.8</v>
      </c>
      <c r="L404" s="242" t="n">
        <f aca="false">IF(J404&gt;0,K404/J404,0)</f>
        <v>0.645348837209302</v>
      </c>
    </row>
    <row r="405" customFormat="false" ht="15" hidden="false" customHeight="true" outlineLevel="0" collapsed="false">
      <c r="A405" s="243" t="s">
        <v>416</v>
      </c>
      <c r="B405" s="243" t="s">
        <v>287</v>
      </c>
      <c r="C405" s="243" t="s">
        <v>260</v>
      </c>
      <c r="D405" s="243" t="s">
        <v>383</v>
      </c>
      <c r="E405" s="243" t="s">
        <v>386</v>
      </c>
      <c r="F405" s="243" t="s">
        <v>393</v>
      </c>
      <c r="G405" s="244" t="n">
        <v>16.4</v>
      </c>
      <c r="H405" s="244" t="n">
        <v>7.6</v>
      </c>
      <c r="I405" s="245" t="n">
        <v>4936</v>
      </c>
      <c r="J405" s="246" t="n">
        <f aca="false">G405*I405</f>
        <v>80950.4</v>
      </c>
      <c r="K405" s="246" t="n">
        <f aca="false">J405-H405*I405</f>
        <v>43436.8</v>
      </c>
      <c r="L405" s="247" t="n">
        <f aca="false">IF(J405&gt;0,K405/J405,0)</f>
        <v>0.536585365853659</v>
      </c>
    </row>
    <row r="406" customFormat="false" ht="15" hidden="false" customHeight="true" outlineLevel="0" collapsed="false">
      <c r="A406" s="238" t="s">
        <v>416</v>
      </c>
      <c r="B406" s="238" t="s">
        <v>287</v>
      </c>
      <c r="C406" s="238" t="s">
        <v>260</v>
      </c>
      <c r="D406" s="238" t="s">
        <v>383</v>
      </c>
      <c r="E406" s="238" t="s">
        <v>396</v>
      </c>
      <c r="F406" s="238" t="s">
        <v>394</v>
      </c>
      <c r="G406" s="239" t="n">
        <v>17.9</v>
      </c>
      <c r="H406" s="239" t="n">
        <v>6.6</v>
      </c>
      <c r="I406" s="240" t="n">
        <v>915</v>
      </c>
      <c r="J406" s="241" t="n">
        <f aca="false">G406*I406</f>
        <v>16378.5</v>
      </c>
      <c r="K406" s="241" t="n">
        <f aca="false">J406-H406*I406</f>
        <v>10339.5</v>
      </c>
      <c r="L406" s="242" t="n">
        <f aca="false">IF(J406&gt;0,K406/J406,0)</f>
        <v>0.631284916201117</v>
      </c>
    </row>
    <row r="407" customFormat="false" ht="15" hidden="false" customHeight="true" outlineLevel="0" collapsed="false">
      <c r="A407" s="243" t="s">
        <v>416</v>
      </c>
      <c r="B407" s="243" t="s">
        <v>287</v>
      </c>
      <c r="C407" s="243" t="s">
        <v>260</v>
      </c>
      <c r="D407" s="243" t="s">
        <v>383</v>
      </c>
      <c r="E407" s="243" t="s">
        <v>384</v>
      </c>
      <c r="F407" s="243" t="s">
        <v>395</v>
      </c>
      <c r="G407" s="244" t="n">
        <v>19.9</v>
      </c>
      <c r="H407" s="244" t="n">
        <v>7.6</v>
      </c>
      <c r="I407" s="245" t="n">
        <v>7625</v>
      </c>
      <c r="J407" s="246" t="n">
        <f aca="false">G407*I407</f>
        <v>151737.5</v>
      </c>
      <c r="K407" s="246" t="n">
        <f aca="false">J407-H407*I407</f>
        <v>93787.5</v>
      </c>
      <c r="L407" s="247" t="n">
        <f aca="false">IF(J407&gt;0,K407/J407,0)</f>
        <v>0.618090452261307</v>
      </c>
    </row>
    <row r="408" customFormat="false" ht="15" hidden="false" customHeight="true" outlineLevel="0" collapsed="false">
      <c r="A408" s="238" t="s">
        <v>416</v>
      </c>
      <c r="B408" s="238" t="s">
        <v>287</v>
      </c>
      <c r="C408" s="238" t="s">
        <v>260</v>
      </c>
      <c r="D408" s="238" t="s">
        <v>383</v>
      </c>
      <c r="E408" s="238" t="s">
        <v>384</v>
      </c>
      <c r="F408" s="238" t="s">
        <v>397</v>
      </c>
      <c r="G408" s="239" t="n">
        <v>20.5</v>
      </c>
      <c r="H408" s="239" t="n">
        <v>9</v>
      </c>
      <c r="I408" s="240" t="n">
        <v>4499</v>
      </c>
      <c r="J408" s="241" t="n">
        <f aca="false">G408*I408</f>
        <v>92229.5</v>
      </c>
      <c r="K408" s="241" t="n">
        <f aca="false">J408-H408*I408</f>
        <v>51738.5</v>
      </c>
      <c r="L408" s="242" t="n">
        <f aca="false">IF(J408&gt;0,K408/J408,0)</f>
        <v>0.560975609756098</v>
      </c>
    </row>
    <row r="409" customFormat="false" ht="15" hidden="false" customHeight="true" outlineLevel="0" collapsed="false">
      <c r="A409" s="243" t="s">
        <v>416</v>
      </c>
      <c r="B409" s="243" t="s">
        <v>287</v>
      </c>
      <c r="C409" s="243" t="s">
        <v>260</v>
      </c>
      <c r="D409" s="243" t="s">
        <v>383</v>
      </c>
      <c r="E409" s="243" t="s">
        <v>396</v>
      </c>
      <c r="F409" s="243" t="s">
        <v>398</v>
      </c>
      <c r="G409" s="244" t="n">
        <v>24</v>
      </c>
      <c r="H409" s="244" t="n">
        <v>8.2</v>
      </c>
      <c r="I409" s="245" t="n">
        <v>5390</v>
      </c>
      <c r="J409" s="246" t="n">
        <f aca="false">G409*I409</f>
        <v>129360</v>
      </c>
      <c r="K409" s="246" t="n">
        <f aca="false">J409-H409*I409</f>
        <v>85162</v>
      </c>
      <c r="L409" s="247" t="n">
        <f aca="false">IF(J409&gt;0,K409/J409,0)</f>
        <v>0.658333333333333</v>
      </c>
    </row>
    <row r="410" customFormat="false" ht="15" hidden="false" customHeight="true" outlineLevel="0" collapsed="false">
      <c r="A410" s="238" t="s">
        <v>416</v>
      </c>
      <c r="B410" s="238" t="s">
        <v>287</v>
      </c>
      <c r="C410" s="238" t="s">
        <v>260</v>
      </c>
      <c r="D410" s="238" t="s">
        <v>399</v>
      </c>
      <c r="E410" s="238" t="s">
        <v>401</v>
      </c>
      <c r="F410" s="238" t="s">
        <v>385</v>
      </c>
      <c r="G410" s="239" t="n">
        <v>17.7</v>
      </c>
      <c r="H410" s="239" t="n">
        <v>6.8</v>
      </c>
      <c r="I410" s="240" t="n">
        <v>559</v>
      </c>
      <c r="J410" s="241" t="n">
        <f aca="false">G410*I410</f>
        <v>9894.3</v>
      </c>
      <c r="K410" s="241" t="n">
        <f aca="false">J410-H410*I410</f>
        <v>6093.1</v>
      </c>
      <c r="L410" s="242" t="n">
        <f aca="false">IF(J410&gt;0,K410/J410,0)</f>
        <v>0.615819209039548</v>
      </c>
    </row>
    <row r="411" customFormat="false" ht="15" hidden="false" customHeight="true" outlineLevel="0" collapsed="false">
      <c r="A411" s="243" t="s">
        <v>416</v>
      </c>
      <c r="B411" s="243" t="s">
        <v>287</v>
      </c>
      <c r="C411" s="243" t="s">
        <v>260</v>
      </c>
      <c r="D411" s="243" t="s">
        <v>399</v>
      </c>
      <c r="E411" s="243" t="s">
        <v>400</v>
      </c>
      <c r="F411" s="243" t="s">
        <v>387</v>
      </c>
      <c r="G411" s="244" t="n">
        <v>25.6</v>
      </c>
      <c r="H411" s="244" t="n">
        <v>8.7</v>
      </c>
      <c r="I411" s="245" t="n">
        <v>3536</v>
      </c>
      <c r="J411" s="246" t="n">
        <f aca="false">G411*I411</f>
        <v>90521.6</v>
      </c>
      <c r="K411" s="246" t="n">
        <f aca="false">J411-H411*I411</f>
        <v>59758.4</v>
      </c>
      <c r="L411" s="247" t="n">
        <f aca="false">IF(J411&gt;0,K411/J411,0)</f>
        <v>0.66015625</v>
      </c>
    </row>
    <row r="412" customFormat="false" ht="15" hidden="false" customHeight="true" outlineLevel="0" collapsed="false">
      <c r="A412" s="238" t="s">
        <v>416</v>
      </c>
      <c r="B412" s="238" t="s">
        <v>287</v>
      </c>
      <c r="C412" s="238" t="s">
        <v>260</v>
      </c>
      <c r="D412" s="238" t="s">
        <v>399</v>
      </c>
      <c r="E412" s="238" t="s">
        <v>400</v>
      </c>
      <c r="F412" s="238" t="s">
        <v>388</v>
      </c>
      <c r="G412" s="239" t="n">
        <v>15.9</v>
      </c>
      <c r="H412" s="239" t="n">
        <v>6.8</v>
      </c>
      <c r="I412" s="240" t="n">
        <v>3836</v>
      </c>
      <c r="J412" s="241" t="n">
        <f aca="false">G412*I412</f>
        <v>60992.4</v>
      </c>
      <c r="K412" s="241" t="n">
        <f aca="false">J412-H412*I412</f>
        <v>34907.6</v>
      </c>
      <c r="L412" s="242" t="n">
        <f aca="false">IF(J412&gt;0,K412/J412,0)</f>
        <v>0.572327044025157</v>
      </c>
    </row>
    <row r="413" customFormat="false" ht="15" hidden="false" customHeight="true" outlineLevel="0" collapsed="false">
      <c r="A413" s="243" t="s">
        <v>416</v>
      </c>
      <c r="B413" s="243" t="s">
        <v>287</v>
      </c>
      <c r="C413" s="243" t="s">
        <v>260</v>
      </c>
      <c r="D413" s="243" t="s">
        <v>399</v>
      </c>
      <c r="E413" s="243" t="s">
        <v>401</v>
      </c>
      <c r="F413" s="243" t="s">
        <v>389</v>
      </c>
      <c r="G413" s="244" t="n">
        <v>31.1</v>
      </c>
      <c r="H413" s="244" t="n">
        <v>8.9</v>
      </c>
      <c r="I413" s="245" t="n">
        <v>4823</v>
      </c>
      <c r="J413" s="246" t="n">
        <f aca="false">G413*I413</f>
        <v>149995.3</v>
      </c>
      <c r="K413" s="246" t="n">
        <f aca="false">J413-H413*I413</f>
        <v>107070.6</v>
      </c>
      <c r="L413" s="247" t="n">
        <f aca="false">IF(J413&gt;0,K413/J413,0)</f>
        <v>0.713826366559486</v>
      </c>
    </row>
    <row r="414" customFormat="false" ht="15" hidden="false" customHeight="true" outlineLevel="0" collapsed="false">
      <c r="A414" s="238" t="s">
        <v>416</v>
      </c>
      <c r="B414" s="238" t="s">
        <v>287</v>
      </c>
      <c r="C414" s="238" t="s">
        <v>260</v>
      </c>
      <c r="D414" s="238" t="s">
        <v>399</v>
      </c>
      <c r="E414" s="238" t="s">
        <v>400</v>
      </c>
      <c r="F414" s="238" t="s">
        <v>390</v>
      </c>
      <c r="G414" s="239" t="n">
        <v>14.5</v>
      </c>
      <c r="H414" s="239" t="n">
        <v>6.6</v>
      </c>
      <c r="I414" s="240" t="n">
        <v>3994</v>
      </c>
      <c r="J414" s="241" t="n">
        <f aca="false">G414*I414</f>
        <v>57913</v>
      </c>
      <c r="K414" s="241" t="n">
        <f aca="false">J414-H414*I414</f>
        <v>31552.6</v>
      </c>
      <c r="L414" s="242" t="n">
        <f aca="false">IF(J414&gt;0,K414/J414,0)</f>
        <v>0.544827586206897</v>
      </c>
    </row>
    <row r="415" customFormat="false" ht="15" hidden="false" customHeight="true" outlineLevel="0" collapsed="false">
      <c r="A415" s="243" t="s">
        <v>416</v>
      </c>
      <c r="B415" s="243" t="s">
        <v>287</v>
      </c>
      <c r="C415" s="243" t="s">
        <v>260</v>
      </c>
      <c r="D415" s="243" t="s">
        <v>399</v>
      </c>
      <c r="E415" s="243" t="s">
        <v>402</v>
      </c>
      <c r="F415" s="243" t="s">
        <v>391</v>
      </c>
      <c r="G415" s="244" t="n">
        <v>19.6</v>
      </c>
      <c r="H415" s="244" t="n">
        <v>6.6</v>
      </c>
      <c r="I415" s="245" t="n">
        <v>3743</v>
      </c>
      <c r="J415" s="246" t="n">
        <f aca="false">G415*I415</f>
        <v>73362.8</v>
      </c>
      <c r="K415" s="246" t="n">
        <f aca="false">J415-H415*I415</f>
        <v>48659</v>
      </c>
      <c r="L415" s="247" t="n">
        <f aca="false">IF(J415&gt;0,K415/J415,0)</f>
        <v>0.663265306122449</v>
      </c>
    </row>
    <row r="416" customFormat="false" ht="15" hidden="false" customHeight="true" outlineLevel="0" collapsed="false">
      <c r="A416" s="238" t="s">
        <v>416</v>
      </c>
      <c r="B416" s="238" t="s">
        <v>287</v>
      </c>
      <c r="C416" s="238" t="s">
        <v>260</v>
      </c>
      <c r="D416" s="238" t="s">
        <v>399</v>
      </c>
      <c r="E416" s="238" t="s">
        <v>401</v>
      </c>
      <c r="F416" s="238" t="s">
        <v>392</v>
      </c>
      <c r="G416" s="239" t="n">
        <v>21</v>
      </c>
      <c r="H416" s="239" t="n">
        <v>7.1</v>
      </c>
      <c r="I416" s="240" t="n">
        <v>4184</v>
      </c>
      <c r="J416" s="241" t="n">
        <f aca="false">G416*I416</f>
        <v>87864</v>
      </c>
      <c r="K416" s="241" t="n">
        <f aca="false">J416-H416*I416</f>
        <v>58157.6</v>
      </c>
      <c r="L416" s="242" t="n">
        <f aca="false">IF(J416&gt;0,K416/J416,0)</f>
        <v>0.661904761904762</v>
      </c>
    </row>
    <row r="417" customFormat="false" ht="15" hidden="false" customHeight="true" outlineLevel="0" collapsed="false">
      <c r="A417" s="243" t="s">
        <v>416</v>
      </c>
      <c r="B417" s="243" t="s">
        <v>287</v>
      </c>
      <c r="C417" s="243" t="s">
        <v>260</v>
      </c>
      <c r="D417" s="243" t="s">
        <v>399</v>
      </c>
      <c r="E417" s="243" t="s">
        <v>402</v>
      </c>
      <c r="F417" s="243" t="s">
        <v>393</v>
      </c>
      <c r="G417" s="244" t="n">
        <v>18.1</v>
      </c>
      <c r="H417" s="244" t="n">
        <v>7.4</v>
      </c>
      <c r="I417" s="245" t="n">
        <v>2967</v>
      </c>
      <c r="J417" s="246" t="n">
        <f aca="false">G417*I417</f>
        <v>53702.7</v>
      </c>
      <c r="K417" s="246" t="n">
        <f aca="false">J417-H417*I417</f>
        <v>31746.9</v>
      </c>
      <c r="L417" s="247" t="n">
        <f aca="false">IF(J417&gt;0,K417/J417,0)</f>
        <v>0.591160220994475</v>
      </c>
    </row>
    <row r="418" customFormat="false" ht="15" hidden="false" customHeight="true" outlineLevel="0" collapsed="false">
      <c r="A418" s="238" t="s">
        <v>416</v>
      </c>
      <c r="B418" s="238" t="s">
        <v>287</v>
      </c>
      <c r="C418" s="238" t="s">
        <v>260</v>
      </c>
      <c r="D418" s="238" t="s">
        <v>399</v>
      </c>
      <c r="E418" s="238" t="s">
        <v>402</v>
      </c>
      <c r="F418" s="238" t="s">
        <v>394</v>
      </c>
      <c r="G418" s="239" t="n">
        <v>22.4</v>
      </c>
      <c r="H418" s="239" t="n">
        <v>8.3</v>
      </c>
      <c r="I418" s="240" t="n">
        <v>4026</v>
      </c>
      <c r="J418" s="241" t="n">
        <f aca="false">G418*I418</f>
        <v>90182.4</v>
      </c>
      <c r="K418" s="241" t="n">
        <f aca="false">J418-H418*I418</f>
        <v>56766.6</v>
      </c>
      <c r="L418" s="242" t="n">
        <f aca="false">IF(J418&gt;0,K418/J418,0)</f>
        <v>0.629464285714286</v>
      </c>
    </row>
    <row r="419" customFormat="false" ht="15" hidden="false" customHeight="true" outlineLevel="0" collapsed="false">
      <c r="A419" s="243" t="s">
        <v>416</v>
      </c>
      <c r="B419" s="243" t="s">
        <v>287</v>
      </c>
      <c r="C419" s="243" t="s">
        <v>260</v>
      </c>
      <c r="D419" s="243" t="s">
        <v>399</v>
      </c>
      <c r="E419" s="243" t="s">
        <v>401</v>
      </c>
      <c r="F419" s="243" t="s">
        <v>395</v>
      </c>
      <c r="G419" s="244" t="n">
        <v>17.4</v>
      </c>
      <c r="H419" s="244" t="n">
        <v>6.8</v>
      </c>
      <c r="I419" s="245" t="n">
        <v>1640</v>
      </c>
      <c r="J419" s="246" t="n">
        <f aca="false">G419*I419</f>
        <v>28536</v>
      </c>
      <c r="K419" s="246" t="n">
        <f aca="false">J419-H419*I419</f>
        <v>17384</v>
      </c>
      <c r="L419" s="247" t="n">
        <f aca="false">IF(J419&gt;0,K419/J419,0)</f>
        <v>0.609195402298851</v>
      </c>
    </row>
    <row r="420" customFormat="false" ht="15" hidden="false" customHeight="true" outlineLevel="0" collapsed="false">
      <c r="A420" s="238" t="s">
        <v>416</v>
      </c>
      <c r="B420" s="238" t="s">
        <v>287</v>
      </c>
      <c r="C420" s="238" t="s">
        <v>260</v>
      </c>
      <c r="D420" s="238" t="s">
        <v>399</v>
      </c>
      <c r="E420" s="238" t="s">
        <v>401</v>
      </c>
      <c r="F420" s="238" t="s">
        <v>397</v>
      </c>
      <c r="G420" s="239" t="n">
        <v>21.8</v>
      </c>
      <c r="H420" s="239" t="n">
        <v>8</v>
      </c>
      <c r="I420" s="240" t="n">
        <v>4124</v>
      </c>
      <c r="J420" s="241" t="n">
        <f aca="false">G420*I420</f>
        <v>89903.2</v>
      </c>
      <c r="K420" s="241" t="n">
        <f aca="false">J420-H420*I420</f>
        <v>56911.2</v>
      </c>
      <c r="L420" s="242" t="n">
        <f aca="false">IF(J420&gt;0,K420/J420,0)</f>
        <v>0.63302752293578</v>
      </c>
    </row>
    <row r="421" customFormat="false" ht="15" hidden="false" customHeight="true" outlineLevel="0" collapsed="false">
      <c r="A421" s="243" t="s">
        <v>416</v>
      </c>
      <c r="B421" s="243" t="s">
        <v>287</v>
      </c>
      <c r="C421" s="243" t="s">
        <v>260</v>
      </c>
      <c r="D421" s="243" t="s">
        <v>399</v>
      </c>
      <c r="E421" s="243" t="s">
        <v>401</v>
      </c>
      <c r="F421" s="243" t="s">
        <v>398</v>
      </c>
      <c r="G421" s="244" t="n">
        <v>21.2</v>
      </c>
      <c r="H421" s="244" t="n">
        <v>7.1</v>
      </c>
      <c r="I421" s="245" t="n">
        <v>1941</v>
      </c>
      <c r="J421" s="246" t="n">
        <f aca="false">G421*I421</f>
        <v>41149.2</v>
      </c>
      <c r="K421" s="246" t="n">
        <f aca="false">J421-H421*I421</f>
        <v>27368.1</v>
      </c>
      <c r="L421" s="247" t="n">
        <f aca="false">IF(J421&gt;0,K421/J421,0)</f>
        <v>0.665094339622642</v>
      </c>
    </row>
    <row r="422" customFormat="false" ht="15" hidden="false" customHeight="true" outlineLevel="0" collapsed="false">
      <c r="A422" s="238" t="s">
        <v>416</v>
      </c>
      <c r="B422" s="238" t="s">
        <v>287</v>
      </c>
      <c r="C422" s="238" t="s">
        <v>260</v>
      </c>
      <c r="D422" s="238" t="s">
        <v>403</v>
      </c>
      <c r="E422" s="238" t="s">
        <v>404</v>
      </c>
      <c r="F422" s="238" t="s">
        <v>385</v>
      </c>
      <c r="G422" s="239" t="n">
        <v>21.6</v>
      </c>
      <c r="H422" s="239" t="n">
        <v>7.3</v>
      </c>
      <c r="I422" s="240" t="n">
        <v>2253</v>
      </c>
      <c r="J422" s="241" t="n">
        <f aca="false">G422*I422</f>
        <v>48664.8</v>
      </c>
      <c r="K422" s="241" t="n">
        <f aca="false">J422-H422*I422</f>
        <v>32217.9</v>
      </c>
      <c r="L422" s="242" t="n">
        <f aca="false">IF(J422&gt;0,K422/J422,0)</f>
        <v>0.662037037037037</v>
      </c>
    </row>
    <row r="423" customFormat="false" ht="15" hidden="false" customHeight="true" outlineLevel="0" collapsed="false">
      <c r="A423" s="243" t="s">
        <v>416</v>
      </c>
      <c r="B423" s="243" t="s">
        <v>287</v>
      </c>
      <c r="C423" s="243" t="s">
        <v>260</v>
      </c>
      <c r="D423" s="243" t="s">
        <v>403</v>
      </c>
      <c r="E423" s="243" t="s">
        <v>406</v>
      </c>
      <c r="F423" s="243" t="s">
        <v>387</v>
      </c>
      <c r="G423" s="244" t="n">
        <v>16</v>
      </c>
      <c r="H423" s="244" t="n">
        <v>6.5</v>
      </c>
      <c r="I423" s="245" t="n">
        <v>1451</v>
      </c>
      <c r="J423" s="246" t="n">
        <f aca="false">G423*I423</f>
        <v>23216</v>
      </c>
      <c r="K423" s="246" t="n">
        <f aca="false">J423-H423*I423</f>
        <v>13784.5</v>
      </c>
      <c r="L423" s="247" t="n">
        <f aca="false">IF(J423&gt;0,K423/J423,0)</f>
        <v>0.59375</v>
      </c>
    </row>
    <row r="424" customFormat="false" ht="15" hidden="false" customHeight="true" outlineLevel="0" collapsed="false">
      <c r="A424" s="238" t="s">
        <v>416</v>
      </c>
      <c r="B424" s="238" t="s">
        <v>287</v>
      </c>
      <c r="C424" s="238" t="s">
        <v>260</v>
      </c>
      <c r="D424" s="238" t="s">
        <v>403</v>
      </c>
      <c r="E424" s="238" t="s">
        <v>406</v>
      </c>
      <c r="F424" s="238" t="s">
        <v>388</v>
      </c>
      <c r="G424" s="239" t="n">
        <v>28.5</v>
      </c>
      <c r="H424" s="239" t="n">
        <v>8.5</v>
      </c>
      <c r="I424" s="240" t="n">
        <v>2618</v>
      </c>
      <c r="J424" s="241" t="n">
        <f aca="false">G424*I424</f>
        <v>74613</v>
      </c>
      <c r="K424" s="241" t="n">
        <f aca="false">J424-H424*I424</f>
        <v>52360</v>
      </c>
      <c r="L424" s="242" t="n">
        <f aca="false">IF(J424&gt;0,K424/J424,0)</f>
        <v>0.701754385964912</v>
      </c>
    </row>
    <row r="425" customFormat="false" ht="15" hidden="false" customHeight="true" outlineLevel="0" collapsed="false">
      <c r="A425" s="243" t="s">
        <v>416</v>
      </c>
      <c r="B425" s="243" t="s">
        <v>287</v>
      </c>
      <c r="C425" s="243" t="s">
        <v>260</v>
      </c>
      <c r="D425" s="243" t="s">
        <v>403</v>
      </c>
      <c r="E425" s="243" t="s">
        <v>405</v>
      </c>
      <c r="F425" s="243" t="s">
        <v>389</v>
      </c>
      <c r="G425" s="244" t="n">
        <v>19.1</v>
      </c>
      <c r="H425" s="244" t="n">
        <v>7.6</v>
      </c>
      <c r="I425" s="245" t="n">
        <v>2028</v>
      </c>
      <c r="J425" s="246" t="n">
        <f aca="false">G425*I425</f>
        <v>38734.8</v>
      </c>
      <c r="K425" s="246" t="n">
        <f aca="false">J425-H425*I425</f>
        <v>23322</v>
      </c>
      <c r="L425" s="247" t="n">
        <f aca="false">IF(J425&gt;0,K425/J425,0)</f>
        <v>0.602094240837696</v>
      </c>
    </row>
    <row r="426" customFormat="false" ht="15" hidden="false" customHeight="true" outlineLevel="0" collapsed="false">
      <c r="A426" s="238" t="s">
        <v>416</v>
      </c>
      <c r="B426" s="238" t="s">
        <v>287</v>
      </c>
      <c r="C426" s="238" t="s">
        <v>260</v>
      </c>
      <c r="D426" s="238" t="s">
        <v>403</v>
      </c>
      <c r="E426" s="238" t="s">
        <v>404</v>
      </c>
      <c r="F426" s="238" t="s">
        <v>390</v>
      </c>
      <c r="G426" s="239" t="n">
        <v>20.6</v>
      </c>
      <c r="H426" s="239" t="n">
        <v>6</v>
      </c>
      <c r="I426" s="240" t="n">
        <v>2243</v>
      </c>
      <c r="J426" s="241" t="n">
        <f aca="false">G426*I426</f>
        <v>46205.8</v>
      </c>
      <c r="K426" s="241" t="n">
        <f aca="false">J426-H426*I426</f>
        <v>32747.8</v>
      </c>
      <c r="L426" s="242" t="n">
        <f aca="false">IF(J426&gt;0,K426/J426,0)</f>
        <v>0.70873786407767</v>
      </c>
    </row>
    <row r="427" customFormat="false" ht="15" hidden="false" customHeight="true" outlineLevel="0" collapsed="false">
      <c r="A427" s="243" t="s">
        <v>416</v>
      </c>
      <c r="B427" s="243" t="s">
        <v>287</v>
      </c>
      <c r="C427" s="243" t="s">
        <v>260</v>
      </c>
      <c r="D427" s="243" t="s">
        <v>403</v>
      </c>
      <c r="E427" s="243" t="s">
        <v>406</v>
      </c>
      <c r="F427" s="243" t="s">
        <v>391</v>
      </c>
      <c r="G427" s="244" t="n">
        <v>22.4</v>
      </c>
      <c r="H427" s="244" t="n">
        <v>7.8</v>
      </c>
      <c r="I427" s="245" t="n">
        <v>2823</v>
      </c>
      <c r="J427" s="246" t="n">
        <f aca="false">G427*I427</f>
        <v>63235.2</v>
      </c>
      <c r="K427" s="246" t="n">
        <f aca="false">J427-H427*I427</f>
        <v>41215.8</v>
      </c>
      <c r="L427" s="247" t="n">
        <f aca="false">IF(J427&gt;0,K427/J427,0)</f>
        <v>0.651785714285714</v>
      </c>
    </row>
    <row r="428" customFormat="false" ht="15" hidden="false" customHeight="true" outlineLevel="0" collapsed="false">
      <c r="A428" s="238" t="s">
        <v>416</v>
      </c>
      <c r="B428" s="238" t="s">
        <v>287</v>
      </c>
      <c r="C428" s="238" t="s">
        <v>260</v>
      </c>
      <c r="D428" s="238" t="s">
        <v>403</v>
      </c>
      <c r="E428" s="238" t="s">
        <v>404</v>
      </c>
      <c r="F428" s="238" t="s">
        <v>392</v>
      </c>
      <c r="G428" s="239" t="n">
        <v>20.9</v>
      </c>
      <c r="H428" s="239" t="n">
        <v>8.3</v>
      </c>
      <c r="I428" s="240" t="n">
        <v>771</v>
      </c>
      <c r="J428" s="241" t="n">
        <f aca="false">G428*I428</f>
        <v>16113.9</v>
      </c>
      <c r="K428" s="241" t="n">
        <f aca="false">J428-H428*I428</f>
        <v>9714.6</v>
      </c>
      <c r="L428" s="242" t="n">
        <f aca="false">IF(J428&gt;0,K428/J428,0)</f>
        <v>0.602870813397129</v>
      </c>
    </row>
    <row r="429" customFormat="false" ht="15" hidden="false" customHeight="true" outlineLevel="0" collapsed="false">
      <c r="A429" s="243" t="s">
        <v>416</v>
      </c>
      <c r="B429" s="243" t="s">
        <v>287</v>
      </c>
      <c r="C429" s="243" t="s">
        <v>260</v>
      </c>
      <c r="D429" s="243" t="s">
        <v>403</v>
      </c>
      <c r="E429" s="243" t="s">
        <v>405</v>
      </c>
      <c r="F429" s="243" t="s">
        <v>393</v>
      </c>
      <c r="G429" s="244" t="n">
        <v>18.9</v>
      </c>
      <c r="H429" s="244" t="n">
        <v>8.4</v>
      </c>
      <c r="I429" s="245" t="n">
        <v>2931</v>
      </c>
      <c r="J429" s="246" t="n">
        <f aca="false">G429*I429</f>
        <v>55395.9</v>
      </c>
      <c r="K429" s="246" t="n">
        <f aca="false">J429-H429*I429</f>
        <v>30775.5</v>
      </c>
      <c r="L429" s="247" t="n">
        <f aca="false">IF(J429&gt;0,K429/J429,0)</f>
        <v>0.555555555555556</v>
      </c>
    </row>
    <row r="430" customFormat="false" ht="15" hidden="false" customHeight="true" outlineLevel="0" collapsed="false">
      <c r="A430" s="238" t="s">
        <v>416</v>
      </c>
      <c r="B430" s="238" t="s">
        <v>287</v>
      </c>
      <c r="C430" s="238" t="s">
        <v>260</v>
      </c>
      <c r="D430" s="238" t="s">
        <v>403</v>
      </c>
      <c r="E430" s="238" t="s">
        <v>405</v>
      </c>
      <c r="F430" s="238" t="s">
        <v>394</v>
      </c>
      <c r="G430" s="239" t="n">
        <v>19</v>
      </c>
      <c r="H430" s="239" t="n">
        <v>8.9</v>
      </c>
      <c r="I430" s="240" t="n">
        <v>2962</v>
      </c>
      <c r="J430" s="241" t="n">
        <f aca="false">G430*I430</f>
        <v>56278</v>
      </c>
      <c r="K430" s="241" t="n">
        <f aca="false">J430-H430*I430</f>
        <v>29916.2</v>
      </c>
      <c r="L430" s="242" t="n">
        <f aca="false">IF(J430&gt;0,K430/J430,0)</f>
        <v>0.531578947368421</v>
      </c>
    </row>
    <row r="431" customFormat="false" ht="15" hidden="false" customHeight="true" outlineLevel="0" collapsed="false">
      <c r="A431" s="243" t="s">
        <v>416</v>
      </c>
      <c r="B431" s="243" t="s">
        <v>287</v>
      </c>
      <c r="C431" s="243" t="s">
        <v>260</v>
      </c>
      <c r="D431" s="243" t="s">
        <v>403</v>
      </c>
      <c r="E431" s="243" t="s">
        <v>405</v>
      </c>
      <c r="F431" s="243" t="s">
        <v>395</v>
      </c>
      <c r="G431" s="244" t="n">
        <v>27.4</v>
      </c>
      <c r="H431" s="244" t="n">
        <v>8.4</v>
      </c>
      <c r="I431" s="245" t="n">
        <v>902</v>
      </c>
      <c r="J431" s="246" t="n">
        <f aca="false">G431*I431</f>
        <v>24714.8</v>
      </c>
      <c r="K431" s="246" t="n">
        <f aca="false">J431-H431*I431</f>
        <v>17138</v>
      </c>
      <c r="L431" s="247" t="n">
        <f aca="false">IF(J431&gt;0,K431/J431,0)</f>
        <v>0.693430656934307</v>
      </c>
    </row>
    <row r="432" customFormat="false" ht="15" hidden="false" customHeight="true" outlineLevel="0" collapsed="false">
      <c r="A432" s="238" t="s">
        <v>416</v>
      </c>
      <c r="B432" s="238" t="s">
        <v>287</v>
      </c>
      <c r="C432" s="238" t="s">
        <v>260</v>
      </c>
      <c r="D432" s="238" t="s">
        <v>403</v>
      </c>
      <c r="E432" s="238" t="s">
        <v>405</v>
      </c>
      <c r="F432" s="238" t="s">
        <v>397</v>
      </c>
      <c r="G432" s="239" t="n">
        <v>14</v>
      </c>
      <c r="H432" s="239" t="n">
        <v>6.6</v>
      </c>
      <c r="I432" s="240" t="n">
        <v>2779</v>
      </c>
      <c r="J432" s="241" t="n">
        <f aca="false">G432*I432</f>
        <v>38906</v>
      </c>
      <c r="K432" s="241" t="n">
        <f aca="false">J432-H432*I432</f>
        <v>20564.6</v>
      </c>
      <c r="L432" s="242" t="n">
        <f aca="false">IF(J432&gt;0,K432/J432,0)</f>
        <v>0.528571428571429</v>
      </c>
    </row>
    <row r="433" customFormat="false" ht="15" hidden="false" customHeight="true" outlineLevel="0" collapsed="false">
      <c r="A433" s="243" t="s">
        <v>416</v>
      </c>
      <c r="B433" s="243" t="s">
        <v>287</v>
      </c>
      <c r="C433" s="243" t="s">
        <v>260</v>
      </c>
      <c r="D433" s="243" t="s">
        <v>403</v>
      </c>
      <c r="E433" s="243" t="s">
        <v>406</v>
      </c>
      <c r="F433" s="243" t="s">
        <v>398</v>
      </c>
      <c r="G433" s="244" t="n">
        <v>24.4</v>
      </c>
      <c r="H433" s="244" t="n">
        <v>8.6</v>
      </c>
      <c r="I433" s="245" t="n">
        <v>1098</v>
      </c>
      <c r="J433" s="246" t="n">
        <f aca="false">G433*I433</f>
        <v>26791.2</v>
      </c>
      <c r="K433" s="246" t="n">
        <f aca="false">J433-H433*I433</f>
        <v>17348.4</v>
      </c>
      <c r="L433" s="247" t="n">
        <f aca="false">IF(J433&gt;0,K433/J433,0)</f>
        <v>0.647540983606557</v>
      </c>
    </row>
  </sheetData>
  <autoFilter ref="A1:L4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2026-04-23T16:47:08Z</dcterms:created>
  <dc:creator>openpyxl</dc:creator>
  <dc:description/>
  <dc:language>en-US</dc:language>
  <cp:lastModifiedBy/>
  <dcterms:modified xsi:type="dcterms:W3CDTF">2026-04-23T16:48:04Z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